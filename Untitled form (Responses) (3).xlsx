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uparna Ghosal Nandi\Downloads\"/>
    </mc:Choice>
  </mc:AlternateContent>
  <xr:revisionPtr revIDLastSave="0" documentId="13_ncr:1_{7E5B164C-8798-4DD2-AED2-EE6EFFCFD109}" xr6:coauthVersionLast="47" xr6:coauthVersionMax="47" xr10:uidLastSave="{00000000-0000-0000-0000-000000000000}"/>
  <bookViews>
    <workbookView xWindow="-120" yWindow="-120" windowWidth="20730" windowHeight="11040" activeTab="6" xr2:uid="{00000000-000D-0000-FFFF-FFFF00000000}"/>
  </bookViews>
  <sheets>
    <sheet name="Cleaned Data" sheetId="1" r:id="rId1"/>
    <sheet name="Regression" sheetId="5" r:id="rId2"/>
    <sheet name="No. of colleges" sheetId="19" r:id="rId3"/>
    <sheet name="Usage of resources" sheetId="13" r:id="rId4"/>
    <sheet name="How many days it is used" sheetId="14" r:id="rId5"/>
    <sheet name="Problems faced" sheetId="16" r:id="rId6"/>
    <sheet name="Dashboard" sheetId="18" r:id="rId7"/>
  </sheets>
  <definedNames>
    <definedName name="Slicer_How_many_days_of_the_week_do_you_use_online_resource_for_studies?">#N/A</definedName>
    <definedName name="Slicer_Which_college_are_you_from?">#N/A</definedName>
    <definedName name="Slicer_Which_college_are_you_from?1">#N/A</definedName>
    <definedName name="Slicer_Which_online_resources_do_you_use_the_most_for_studying?">#N/A</definedName>
  </definedNames>
  <calcPr calcId="191029"/>
  <pivotCaches>
    <pivotCache cacheId="36"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44" i="1" l="1"/>
  <c r="K43" i="1"/>
  <c r="E44" i="1"/>
  <c r="E43" i="1"/>
  <c r="E46" i="1"/>
  <c r="E45" i="1"/>
  <c r="J44" i="1"/>
  <c r="J43" i="1"/>
  <c r="D46" i="1"/>
  <c r="D45" i="1"/>
  <c r="D44" i="1"/>
  <c r="D43" i="1"/>
</calcChain>
</file>

<file path=xl/sharedStrings.xml><?xml version="1.0" encoding="utf-8"?>
<sst xmlns="http://schemas.openxmlformats.org/spreadsheetml/2006/main" count="311" uniqueCount="74">
  <si>
    <t>What is your gender?</t>
  </si>
  <si>
    <t>Which college are you from?</t>
  </si>
  <si>
    <t>How many hours per day do you use online resources for studying ?</t>
  </si>
  <si>
    <t>How many days of the week do you use online resource for studies?</t>
  </si>
  <si>
    <t>Which online resources do you use the most for studying?</t>
  </si>
  <si>
    <t>What is the purpose of your use?</t>
  </si>
  <si>
    <t>Do you think online resources help you understand your subject better than textbooks?</t>
  </si>
  <si>
    <t>What problems do you face while using online resources?</t>
  </si>
  <si>
    <t xml:space="preserve">What was your gpa last semester? </t>
  </si>
  <si>
    <t xml:space="preserve">Monthly expenditure on online educational resources (if any) </t>
  </si>
  <si>
    <t>Male</t>
  </si>
  <si>
    <t>ChatGPT</t>
  </si>
  <si>
    <t>Solving numerical problems</t>
  </si>
  <si>
    <t>Yes</t>
  </si>
  <si>
    <t>Distracting, It's not always free</t>
  </si>
  <si>
    <t>Understanding concepts</t>
  </si>
  <si>
    <t>Distracting</t>
  </si>
  <si>
    <t>Female</t>
  </si>
  <si>
    <t>Exam preparation</t>
  </si>
  <si>
    <t>Youtube</t>
  </si>
  <si>
    <t>Maybe</t>
  </si>
  <si>
    <t>Distracting, Information overload</t>
  </si>
  <si>
    <t>Making notes</t>
  </si>
  <si>
    <t>It's not always free, No major problems</t>
  </si>
  <si>
    <t>Asutosh College</t>
  </si>
  <si>
    <t>Information overload</t>
  </si>
  <si>
    <t>No major problems</t>
  </si>
  <si>
    <t>Shri Shikshayatan College</t>
  </si>
  <si>
    <t>Pdfs and online books</t>
  </si>
  <si>
    <t>The Bhawanipur Education Society College</t>
  </si>
  <si>
    <t>It's not always free</t>
  </si>
  <si>
    <t>Gokhale Memorial Girls' College</t>
  </si>
  <si>
    <t>No, Maybe</t>
  </si>
  <si>
    <t>Information overload, It's not always free</t>
  </si>
  <si>
    <t>Acharya Jagadish Chandra Bose College</t>
  </si>
  <si>
    <t>Online courses (Coursera, Udemy etc)</t>
  </si>
  <si>
    <t>Distracting, Information overload, It's not always free</t>
  </si>
  <si>
    <t>Yes, Maybe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</si>
  <si>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</si>
  <si>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</si>
  <si>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</si>
  <si>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</si>
  <si>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</si>
  <si>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</si>
  <si>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</si>
  <si>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</si>
  <si>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</si>
  <si>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</si>
  <si>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</si>
  <si>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</si>
  <si>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</si>
  <si>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</si>
  <si>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</si>
  <si>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</si>
  <si>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</si>
  <si>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</si>
  <si>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</si>
  <si>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</si>
  <si>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</si>
  <si>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Intercept</t>
  </si>
  <si>
    <t>Row Labels</t>
  </si>
  <si>
    <t>Grand Total</t>
  </si>
  <si>
    <t>Lower 95.0%</t>
  </si>
  <si>
    <t>Upper 95.0%</t>
  </si>
  <si>
    <t>Online Study Hours</t>
  </si>
  <si>
    <t>MEAN</t>
  </si>
  <si>
    <t>MEDIAN</t>
  </si>
  <si>
    <t>MINIMUM</t>
  </si>
  <si>
    <t>MAXIMUM</t>
  </si>
  <si>
    <t>Count of Which college are you from?</t>
  </si>
  <si>
    <t>Count of Which online resources do you use the most for studying?</t>
  </si>
  <si>
    <t>Count of How many days of the week do you use online resource for studies?</t>
  </si>
  <si>
    <t>Count of What problems do you face while using online resources?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</si>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</sst>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i/>
      <sz val="10"/>
      <color rgb="FF000000"/>
      <name val="Arial"/>
      <family val="2"/>
      <scheme val="minor"/>
    </font>
    <font>
      <sz val="10"/>
      <color rgb="FF000000"/>
      <name val="Arial"/>
      <family val="2"/>
      <scheme val="minor"/>
    </font>
    <font>
      <sz val="10"/>
      <color theme="1"/>
      <name val="Arial"/>
      <family val="2"/>
      <scheme val="minor"/>
    </font>
    <font>
      <sz val="8"/>
      <name val="Arial"/>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s>
  <borders count="9">
    <border>
      <left/>
      <right/>
      <top/>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s>
  <cellStyleXfs count="1">
    <xf numFmtId="0" fontId="0" fillId="0" borderId="0"/>
  </cellStyleXfs>
  <cellXfs count="31">
    <xf numFmtId="0" fontId="0" fillId="0" borderId="0" xfId="0"/>
    <xf numFmtId="0" fontId="1" fillId="0" borderId="0" xfId="0" applyFont="1" applyAlignment="1">
      <alignment horizontal="left" vertical="center"/>
    </xf>
    <xf numFmtId="164" fontId="1" fillId="0" borderId="0" xfId="0" applyNumberFormat="1"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2" borderId="0" xfId="0" applyFont="1" applyFill="1" applyAlignment="1">
      <alignment horizontal="left" vertical="center"/>
    </xf>
    <xf numFmtId="0" fontId="2" fillId="3" borderId="2" xfId="0" applyFont="1" applyFill="1" applyBorder="1" applyAlignment="1">
      <alignment horizontal="centerContinuous"/>
    </xf>
    <xf numFmtId="0" fontId="0" fillId="3" borderId="0" xfId="0" applyFill="1"/>
    <xf numFmtId="0" fontId="0" fillId="3" borderId="1" xfId="0" applyFill="1" applyBorder="1"/>
    <xf numFmtId="0" fontId="2" fillId="4" borderId="2" xfId="0" applyFont="1" applyFill="1" applyBorder="1" applyAlignment="1">
      <alignment horizontal="center"/>
    </xf>
    <xf numFmtId="0" fontId="0" fillId="4" borderId="0" xfId="0" applyFill="1"/>
    <xf numFmtId="0" fontId="0" fillId="4" borderId="1" xfId="0" applyFill="1" applyBorder="1"/>
    <xf numFmtId="0" fontId="0" fillId="0" borderId="3" xfId="0" pivotButton="1" applyBorder="1"/>
    <xf numFmtId="0" fontId="0" fillId="0" borderId="7" xfId="0" applyBorder="1"/>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2" fillId="5" borderId="2" xfId="0" applyFont="1" applyFill="1" applyBorder="1" applyAlignment="1">
      <alignment horizontal="center"/>
    </xf>
    <xf numFmtId="0" fontId="0" fillId="5" borderId="0" xfId="0" applyFill="1"/>
    <xf numFmtId="0" fontId="3" fillId="5" borderId="1" xfId="0" applyFont="1" applyFill="1" applyBorder="1"/>
    <xf numFmtId="0" fontId="0" fillId="5" borderId="1" xfId="0" applyFill="1" applyBorder="1"/>
    <xf numFmtId="0" fontId="3" fillId="0" borderId="0" xfId="0" applyFont="1"/>
    <xf numFmtId="0" fontId="0" fillId="6" borderId="0" xfId="0" applyFill="1"/>
    <xf numFmtId="0" fontId="0" fillId="7" borderId="0" xfId="0" applyFill="1"/>
    <xf numFmtId="0" fontId="4" fillId="3" borderId="0" xfId="0" applyFont="1" applyFill="1"/>
    <xf numFmtId="0" fontId="4" fillId="0" borderId="0" xfId="0" applyFont="1" applyAlignment="1">
      <alignment horizontal="left" vertical="center"/>
    </xf>
    <xf numFmtId="0" fontId="4" fillId="2" borderId="0" xfId="0" applyFont="1" applyFill="1" applyAlignment="1">
      <alignment horizontal="left" vertical="center"/>
    </xf>
    <xf numFmtId="0" fontId="0" fillId="0" borderId="7" xfId="0" applyNumberFormat="1" applyBorder="1"/>
    <xf numFmtId="0" fontId="0" fillId="0" borderId="8" xfId="0" applyNumberFormat="1" applyBorder="1"/>
    <xf numFmtId="0" fontId="0" fillId="0" borderId="6" xfId="0" applyNumberFormat="1" applyBorder="1"/>
    <xf numFmtId="0" fontId="0" fillId="2" borderId="0" xfId="0" applyFill="1"/>
  </cellXfs>
  <cellStyles count="1">
    <cellStyle name="Normal" xfId="0" builtinId="0"/>
  </cellStyles>
  <dxfs count="5">
    <dxf>
      <fill>
        <patternFill patternType="solid">
          <fgColor indexed="64"/>
          <bgColor theme="6" tint="0.59999389629810485"/>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61944444444444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Data'!$I$1</c:f>
              <c:strCache>
                <c:ptCount val="1"/>
                <c:pt idx="0">
                  <c:v>What was your gpa last semester?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403873578302712"/>
                  <c:y val="0.1317249927092446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Data'!$C$2:$C$41</c:f>
              <c:numCache>
                <c:formatCode>General</c:formatCode>
                <c:ptCount val="40"/>
                <c:pt idx="0">
                  <c:v>3.5</c:v>
                </c:pt>
                <c:pt idx="1">
                  <c:v>2</c:v>
                </c:pt>
                <c:pt idx="2">
                  <c:v>6</c:v>
                </c:pt>
                <c:pt idx="3">
                  <c:v>2</c:v>
                </c:pt>
                <c:pt idx="4">
                  <c:v>7</c:v>
                </c:pt>
                <c:pt idx="5">
                  <c:v>6</c:v>
                </c:pt>
                <c:pt idx="6">
                  <c:v>4</c:v>
                </c:pt>
                <c:pt idx="7">
                  <c:v>2</c:v>
                </c:pt>
                <c:pt idx="8">
                  <c:v>2</c:v>
                </c:pt>
                <c:pt idx="9">
                  <c:v>5</c:v>
                </c:pt>
                <c:pt idx="10">
                  <c:v>5</c:v>
                </c:pt>
                <c:pt idx="11">
                  <c:v>7.5</c:v>
                </c:pt>
                <c:pt idx="12">
                  <c:v>8.5</c:v>
                </c:pt>
                <c:pt idx="13">
                  <c:v>5</c:v>
                </c:pt>
                <c:pt idx="14">
                  <c:v>2</c:v>
                </c:pt>
                <c:pt idx="15">
                  <c:v>1</c:v>
                </c:pt>
                <c:pt idx="16">
                  <c:v>7</c:v>
                </c:pt>
                <c:pt idx="17">
                  <c:v>2</c:v>
                </c:pt>
                <c:pt idx="18">
                  <c:v>1.5</c:v>
                </c:pt>
                <c:pt idx="19">
                  <c:v>0.5</c:v>
                </c:pt>
                <c:pt idx="20">
                  <c:v>3</c:v>
                </c:pt>
                <c:pt idx="21">
                  <c:v>4.5</c:v>
                </c:pt>
                <c:pt idx="22">
                  <c:v>5.5</c:v>
                </c:pt>
                <c:pt idx="23">
                  <c:v>3.5</c:v>
                </c:pt>
                <c:pt idx="24">
                  <c:v>3</c:v>
                </c:pt>
                <c:pt idx="25">
                  <c:v>6</c:v>
                </c:pt>
                <c:pt idx="26">
                  <c:v>2</c:v>
                </c:pt>
                <c:pt idx="27">
                  <c:v>6</c:v>
                </c:pt>
                <c:pt idx="28">
                  <c:v>2.5</c:v>
                </c:pt>
                <c:pt idx="29">
                  <c:v>4</c:v>
                </c:pt>
                <c:pt idx="30">
                  <c:v>2</c:v>
                </c:pt>
                <c:pt idx="31">
                  <c:v>1</c:v>
                </c:pt>
                <c:pt idx="32">
                  <c:v>2</c:v>
                </c:pt>
                <c:pt idx="33">
                  <c:v>9</c:v>
                </c:pt>
                <c:pt idx="34">
                  <c:v>7</c:v>
                </c:pt>
                <c:pt idx="35">
                  <c:v>2</c:v>
                </c:pt>
                <c:pt idx="36">
                  <c:v>6</c:v>
                </c:pt>
                <c:pt idx="37">
                  <c:v>4</c:v>
                </c:pt>
                <c:pt idx="38">
                  <c:v>2</c:v>
                </c:pt>
                <c:pt idx="39">
                  <c:v>5</c:v>
                </c:pt>
              </c:numCache>
            </c:numRef>
          </c:xVal>
          <c:yVal>
            <c:numRef>
              <c:f>'Cleaned Data'!$I$2:$I$41</c:f>
              <c:numCache>
                <c:formatCode>General</c:formatCode>
                <c:ptCount val="40"/>
                <c:pt idx="0">
                  <c:v>7.2</c:v>
                </c:pt>
                <c:pt idx="1">
                  <c:v>7.5</c:v>
                </c:pt>
                <c:pt idx="2">
                  <c:v>6.7</c:v>
                </c:pt>
                <c:pt idx="3">
                  <c:v>7.0170000000000003</c:v>
                </c:pt>
                <c:pt idx="4">
                  <c:v>8</c:v>
                </c:pt>
                <c:pt idx="5">
                  <c:v>8.1999999999999993</c:v>
                </c:pt>
                <c:pt idx="6">
                  <c:v>8</c:v>
                </c:pt>
                <c:pt idx="7">
                  <c:v>6.9</c:v>
                </c:pt>
                <c:pt idx="8">
                  <c:v>7</c:v>
                </c:pt>
                <c:pt idx="9">
                  <c:v>7.2</c:v>
                </c:pt>
                <c:pt idx="10">
                  <c:v>7.9829999999999997</c:v>
                </c:pt>
                <c:pt idx="11">
                  <c:v>6.8</c:v>
                </c:pt>
                <c:pt idx="12">
                  <c:v>9</c:v>
                </c:pt>
                <c:pt idx="13">
                  <c:v>7.5</c:v>
                </c:pt>
                <c:pt idx="14">
                  <c:v>6.5</c:v>
                </c:pt>
                <c:pt idx="15">
                  <c:v>6.2</c:v>
                </c:pt>
                <c:pt idx="16">
                  <c:v>7</c:v>
                </c:pt>
                <c:pt idx="17">
                  <c:v>7.4</c:v>
                </c:pt>
                <c:pt idx="18">
                  <c:v>8</c:v>
                </c:pt>
                <c:pt idx="19">
                  <c:v>6.2</c:v>
                </c:pt>
                <c:pt idx="20">
                  <c:v>6</c:v>
                </c:pt>
                <c:pt idx="21">
                  <c:v>8.43</c:v>
                </c:pt>
                <c:pt idx="22">
                  <c:v>8.6999999999999993</c:v>
                </c:pt>
                <c:pt idx="23">
                  <c:v>7.5</c:v>
                </c:pt>
                <c:pt idx="24">
                  <c:v>9</c:v>
                </c:pt>
                <c:pt idx="25">
                  <c:v>6</c:v>
                </c:pt>
                <c:pt idx="26">
                  <c:v>7.33</c:v>
                </c:pt>
                <c:pt idx="27">
                  <c:v>7.1</c:v>
                </c:pt>
                <c:pt idx="28">
                  <c:v>7</c:v>
                </c:pt>
                <c:pt idx="29">
                  <c:v>6.4</c:v>
                </c:pt>
                <c:pt idx="30">
                  <c:v>7.41</c:v>
                </c:pt>
                <c:pt idx="31">
                  <c:v>7.9</c:v>
                </c:pt>
                <c:pt idx="32">
                  <c:v>6.75</c:v>
                </c:pt>
                <c:pt idx="33">
                  <c:v>7.9</c:v>
                </c:pt>
                <c:pt idx="34">
                  <c:v>7.5</c:v>
                </c:pt>
                <c:pt idx="35">
                  <c:v>6.9</c:v>
                </c:pt>
                <c:pt idx="36">
                  <c:v>8</c:v>
                </c:pt>
                <c:pt idx="37">
                  <c:v>8.1</c:v>
                </c:pt>
                <c:pt idx="38">
                  <c:v>6.78</c:v>
                </c:pt>
                <c:pt idx="39">
                  <c:v>7.8</c:v>
                </c:pt>
              </c:numCache>
            </c:numRef>
          </c:yVal>
          <c:smooth val="0"/>
          <c:extLst>
            <c:ext xmlns:c16="http://schemas.microsoft.com/office/drawing/2014/chart" uri="{C3380CC4-5D6E-409C-BE32-E72D297353CC}">
              <c16:uniqueId val="{00000002-0B62-4BC6-A6BF-0ACB93BCD625}"/>
            </c:ext>
          </c:extLst>
        </c:ser>
        <c:dLbls>
          <c:showLegendKey val="0"/>
          <c:showVal val="0"/>
          <c:showCatName val="0"/>
          <c:showSerName val="0"/>
          <c:showPercent val="0"/>
          <c:showBubbleSize val="0"/>
        </c:dLbls>
        <c:axId val="1064063632"/>
        <c:axId val="1064066032"/>
      </c:scatterChart>
      <c:valAx>
        <c:axId val="1064063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Online</a:t>
                </a:r>
                <a:r>
                  <a:rPr lang="en-IN" baseline="0"/>
                  <a:t> study hours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66032"/>
        <c:crosses val="autoZero"/>
        <c:crossBetween val="midCat"/>
      </c:valAx>
      <c:valAx>
        <c:axId val="1064066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SGPA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63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[Untitled form (Responses) (3).xlsx]No. of colleges!PivotTable31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colleges'!$B$3</c:f>
              <c:strCache>
                <c:ptCount val="1"/>
                <c:pt idx="0">
                  <c:v>Total</c:v>
                </c:pt>
              </c:strCache>
            </c:strRef>
          </c:tx>
          <c:spPr>
            <a:solidFill>
              <a:schemeClr val="accent1"/>
            </a:solidFill>
            <a:ln>
              <a:noFill/>
            </a:ln>
            <a:effectLst/>
          </c:spPr>
          <c:invertIfNegative val="0"/>
          <c:cat>
            <c:strRef>
              <c:f>'No. of colleges'!$A$4:$A$9</c:f>
              <c:strCache>
                <c:ptCount val="5"/>
                <c:pt idx="0">
                  <c:v>Acharya Jagadish Chandra Bose College</c:v>
                </c:pt>
                <c:pt idx="1">
                  <c:v>Asutosh College</c:v>
                </c:pt>
                <c:pt idx="2">
                  <c:v>Gokhale Memorial Girls' College</c:v>
                </c:pt>
                <c:pt idx="3">
                  <c:v>Shri Shikshayatan College</c:v>
                </c:pt>
                <c:pt idx="4">
                  <c:v>The Bhawanipur Education Society College</c:v>
                </c:pt>
              </c:strCache>
            </c:strRef>
          </c:cat>
          <c:val>
            <c:numRef>
              <c:f>'No. of colleges'!$B$4:$B$9</c:f>
              <c:numCache>
                <c:formatCode>General</c:formatCode>
                <c:ptCount val="5"/>
                <c:pt idx="0">
                  <c:v>7</c:v>
                </c:pt>
                <c:pt idx="1">
                  <c:v>10</c:v>
                </c:pt>
                <c:pt idx="2">
                  <c:v>4</c:v>
                </c:pt>
                <c:pt idx="3">
                  <c:v>7</c:v>
                </c:pt>
                <c:pt idx="4">
                  <c:v>12</c:v>
                </c:pt>
              </c:numCache>
            </c:numRef>
          </c:val>
          <c:extLst>
            <c:ext xmlns:c16="http://schemas.microsoft.com/office/drawing/2014/chart" uri="{C3380CC4-5D6E-409C-BE32-E72D297353CC}">
              <c16:uniqueId val="{00000000-6EB0-4959-8F41-4F4078FB7049}"/>
            </c:ext>
          </c:extLst>
        </c:ser>
        <c:dLbls>
          <c:showLegendKey val="0"/>
          <c:showVal val="0"/>
          <c:showCatName val="0"/>
          <c:showSerName val="0"/>
          <c:showPercent val="0"/>
          <c:showBubbleSize val="0"/>
        </c:dLbls>
        <c:gapWidth val="219"/>
        <c:overlap val="-27"/>
        <c:axId val="1064006992"/>
        <c:axId val="1064007472"/>
      </c:barChart>
      <c:catAx>
        <c:axId val="10640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07472"/>
        <c:crosses val="autoZero"/>
        <c:auto val="1"/>
        <c:lblAlgn val="ctr"/>
        <c:lblOffset val="100"/>
        <c:noMultiLvlLbl val="0"/>
      </c:catAx>
      <c:valAx>
        <c:axId val="106400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[Untitled form (Responses) (3).xlsx]Usage of resources!PivotTable20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'Usage of resources'!$B$3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9356-4FB6-9B0B-0BE697AA5EE2}"/>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9356-4FB6-9B0B-0BE697AA5EE2}"/>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9356-4FB6-9B0B-0BE697AA5EE2}"/>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9356-4FB6-9B0B-0BE697AA5EE2}"/>
              </c:ext>
            </c:extLst>
          </c:dPt>
          <c:cat>
            <c:strRef>
              <c:f>'Usage of resources'!$A$4:$A$8</c:f>
              <c:strCache>
                <c:ptCount val="4"/>
                <c:pt idx="0">
                  <c:v>ChatGPT</c:v>
                </c:pt>
                <c:pt idx="1">
                  <c:v>Online courses (Coursera, Udemy etc)</c:v>
                </c:pt>
                <c:pt idx="2">
                  <c:v>Pdfs and online books</c:v>
                </c:pt>
                <c:pt idx="3">
                  <c:v>Youtube</c:v>
                </c:pt>
              </c:strCache>
            </c:strRef>
          </c:cat>
          <c:val>
            <c:numRef>
              <c:f>'Usage of resources'!$B$4:$B$8</c:f>
              <c:numCache>
                <c:formatCode>General</c:formatCode>
                <c:ptCount val="4"/>
                <c:pt idx="0">
                  <c:v>18</c:v>
                </c:pt>
                <c:pt idx="1">
                  <c:v>1</c:v>
                </c:pt>
                <c:pt idx="2">
                  <c:v>11</c:v>
                </c:pt>
                <c:pt idx="3">
                  <c:v>10</c:v>
                </c:pt>
              </c:numCache>
            </c:numRef>
          </c:val>
          <c:extLst>
            <c:ext xmlns:c16="http://schemas.microsoft.com/office/drawing/2014/chart" uri="{C3380CC4-5D6E-409C-BE32-E72D297353CC}">
              <c16:uniqueId val="{00000000-430F-4BE9-9B16-167477C0DB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[Untitled form (Responses) (3).xlsx]How many days it is used!PivotTable23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'How many days it is used'!$B$3</c:f>
              <c:strCache>
                <c:ptCount val="1"/>
                <c:pt idx="0">
                  <c:v>Total</c:v>
                </c:pt>
              </c:strCache>
            </c:strRef>
          </c:tx>
          <c:spPr>
            <a:solidFill>
              <a:schemeClr val="accent1"/>
            </a:solidFill>
            <a:ln>
              <a:noFill/>
            </a:ln>
            <a:effectLst/>
          </c:spPr>
          <c:invertIfNegative val="0"/>
          <c:cat>
            <c:strRef>
              <c:f>'How many days it is used'!$A$4:$A$11</c:f>
              <c:strCache>
                <c:ptCount val="7"/>
                <c:pt idx="0">
                  <c:v>1</c:v>
                </c:pt>
                <c:pt idx="1">
                  <c:v>2</c:v>
                </c:pt>
                <c:pt idx="2">
                  <c:v>3</c:v>
                </c:pt>
                <c:pt idx="3">
                  <c:v>4</c:v>
                </c:pt>
                <c:pt idx="4">
                  <c:v>5</c:v>
                </c:pt>
                <c:pt idx="5">
                  <c:v>6</c:v>
                </c:pt>
                <c:pt idx="6">
                  <c:v>7</c:v>
                </c:pt>
              </c:strCache>
            </c:strRef>
          </c:cat>
          <c:val>
            <c:numRef>
              <c:f>'How many days it is used'!$B$4:$B$11</c:f>
              <c:numCache>
                <c:formatCode>General</c:formatCode>
                <c:ptCount val="7"/>
                <c:pt idx="0">
                  <c:v>1</c:v>
                </c:pt>
                <c:pt idx="1">
                  <c:v>2</c:v>
                </c:pt>
                <c:pt idx="2">
                  <c:v>2</c:v>
                </c:pt>
                <c:pt idx="3">
                  <c:v>7</c:v>
                </c:pt>
                <c:pt idx="4">
                  <c:v>5</c:v>
                </c:pt>
                <c:pt idx="5">
                  <c:v>9</c:v>
                </c:pt>
                <c:pt idx="6">
                  <c:v>14</c:v>
                </c:pt>
              </c:numCache>
            </c:numRef>
          </c:val>
          <c:extLst>
            <c:ext xmlns:c16="http://schemas.microsoft.com/office/drawing/2014/chart" uri="{C3380CC4-5D6E-409C-BE32-E72D297353CC}">
              <c16:uniqueId val="{00000000-B37C-4782-B1A4-2C75965BD54A}"/>
            </c:ext>
          </c:extLst>
        </c:ser>
        <c:dLbls>
          <c:showLegendKey val="0"/>
          <c:showVal val="0"/>
          <c:showCatName val="0"/>
          <c:showSerName val="0"/>
          <c:showPercent val="0"/>
          <c:showBubbleSize val="0"/>
        </c:dLbls>
        <c:gapWidth val="219"/>
        <c:overlap val="-27"/>
        <c:axId val="690663904"/>
        <c:axId val="690653824"/>
      </c:barChart>
      <c:catAx>
        <c:axId val="69066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53824"/>
        <c:crosses val="autoZero"/>
        <c:auto val="1"/>
        <c:lblAlgn val="ctr"/>
        <c:lblOffset val="100"/>
        <c:noMultiLvlLbl val="0"/>
      </c:catAx>
      <c:valAx>
        <c:axId val="69065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6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[Untitled form (Responses) (3).xlsx]Problems faced!PivotTable29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'Problems faced'!$B$3</c:f>
              <c:strCache>
                <c:ptCount val="1"/>
                <c:pt idx="0">
                  <c:v>Total</c:v>
                </c:pt>
              </c:strCache>
            </c:strRef>
          </c:tx>
          <c:spPr>
            <a:solidFill>
              <a:schemeClr val="accent1"/>
            </a:solidFill>
            <a:ln>
              <a:noFill/>
            </a:ln>
            <a:effectLst/>
          </c:spPr>
          <c:invertIfNegative val="0"/>
          <c:cat>
            <c:strRef>
              <c:f>'Problems faced'!$A$4:$A$13</c:f>
              <c:strCache>
                <c:ptCount val="9"/>
                <c:pt idx="0">
                  <c:v>Distracting</c:v>
                </c:pt>
                <c:pt idx="1">
                  <c:v>Distracting, Information overload</c:v>
                </c:pt>
                <c:pt idx="2">
                  <c:v>Distracting, Information overload, It's not always free</c:v>
                </c:pt>
                <c:pt idx="3">
                  <c:v>Distracting, It's not always free</c:v>
                </c:pt>
                <c:pt idx="4">
                  <c:v>Information overload</c:v>
                </c:pt>
                <c:pt idx="5">
                  <c:v>Information overload, It's not always free</c:v>
                </c:pt>
                <c:pt idx="6">
                  <c:v>It's not always free</c:v>
                </c:pt>
                <c:pt idx="7">
                  <c:v>It's not always free, No major problems</c:v>
                </c:pt>
                <c:pt idx="8">
                  <c:v>No major problems</c:v>
                </c:pt>
              </c:strCache>
            </c:strRef>
          </c:cat>
          <c:val>
            <c:numRef>
              <c:f>'Problems faced'!$B$4:$B$13</c:f>
              <c:numCache>
                <c:formatCode>General</c:formatCode>
                <c:ptCount val="9"/>
                <c:pt idx="0">
                  <c:v>10</c:v>
                </c:pt>
                <c:pt idx="1">
                  <c:v>1</c:v>
                </c:pt>
                <c:pt idx="2">
                  <c:v>1</c:v>
                </c:pt>
                <c:pt idx="3">
                  <c:v>5</c:v>
                </c:pt>
                <c:pt idx="4">
                  <c:v>3</c:v>
                </c:pt>
                <c:pt idx="5">
                  <c:v>1</c:v>
                </c:pt>
                <c:pt idx="6">
                  <c:v>11</c:v>
                </c:pt>
                <c:pt idx="7">
                  <c:v>1</c:v>
                </c:pt>
                <c:pt idx="8">
                  <c:v>7</c:v>
                </c:pt>
              </c:numCache>
            </c:numRef>
          </c:val>
          <c:extLst>
            <c:ext xmlns:c16="http://schemas.microsoft.com/office/drawing/2014/chart" uri="{C3380CC4-5D6E-409C-BE32-E72D297353CC}">
              <c16:uniqueId val="{00000000-C6BE-4DC4-A94E-3EE5E1C879A6}"/>
            </c:ext>
          </c:extLst>
        </c:ser>
        <c:dLbls>
          <c:showLegendKey val="0"/>
          <c:showVal val="0"/>
          <c:showCatName val="0"/>
          <c:showSerName val="0"/>
          <c:showPercent val="0"/>
          <c:showBubbleSize val="0"/>
        </c:dLbls>
        <c:gapWidth val="219"/>
        <c:overlap val="-27"/>
        <c:axId val="534572352"/>
        <c:axId val="534566592"/>
      </c:barChart>
      <c:catAx>
        <c:axId val="53457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66592"/>
        <c:crosses val="autoZero"/>
        <c:auto val="1"/>
        <c:lblAlgn val="ctr"/>
        <c:lblOffset val="100"/>
        <c:noMultiLvlLbl val="0"/>
      </c:catAx>
      <c:valAx>
        <c:axId val="53456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7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[Untitled form (Responses) (3).xlsx]Usage of resources!PivotTable20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pieChart>
        <c:varyColors val="1"/>
        <c:ser>
          <c:idx val="0"/>
          <c:order val="0"/>
          <c:tx>
            <c:strRef>
              <c:f>'Usage of resources'!$B$3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162D-463E-81C5-19607AE67B98}"/>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162D-463E-81C5-19607AE67B98}"/>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162D-463E-81C5-19607AE67B98}"/>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162D-463E-81C5-19607AE67B98}"/>
              </c:ext>
            </c:extLst>
          </c:dPt>
          <c:dLbls>
            <c:delete val="1"/>
          </c:dLbls>
          <c:cat>
            <c:strRef>
              <c:f>'Usage of resources'!$A$4:$A$8</c:f>
              <c:strCache>
                <c:ptCount val="4"/>
                <c:pt idx="0">
                  <c:v>ChatGPT</c:v>
                </c:pt>
                <c:pt idx="1">
                  <c:v>Online courses (Coursera, Udemy etc)</c:v>
                </c:pt>
                <c:pt idx="2">
                  <c:v>Pdfs and online books</c:v>
                </c:pt>
                <c:pt idx="3">
                  <c:v>Youtube</c:v>
                </c:pt>
              </c:strCache>
            </c:strRef>
          </c:cat>
          <c:val>
            <c:numRef>
              <c:f>'Usage of resources'!$B$4:$B$8</c:f>
              <c:numCache>
                <c:formatCode>General</c:formatCode>
                <c:ptCount val="4"/>
                <c:pt idx="0">
                  <c:v>18</c:v>
                </c:pt>
                <c:pt idx="1">
                  <c:v>1</c:v>
                </c:pt>
                <c:pt idx="2">
                  <c:v>11</c:v>
                </c:pt>
                <c:pt idx="3">
                  <c:v>10</c:v>
                </c:pt>
              </c:numCache>
            </c:numRef>
          </c:val>
          <c:extLst>
            <c:ext xmlns:c16="http://schemas.microsoft.com/office/drawing/2014/chart" uri="{C3380CC4-5D6E-409C-BE32-E72D297353CC}">
              <c16:uniqueId val="{00000008-162D-463E-81C5-19607AE67B98}"/>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[Untitled form (Responses) (3).xlsx]Problems faced!PivotTable29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'Problems faced'!$B$3</c:f>
              <c:strCache>
                <c:ptCount val="1"/>
                <c:pt idx="0">
                  <c:v>Total</c:v>
                </c:pt>
              </c:strCache>
            </c:strRef>
          </c:tx>
          <c:spPr>
            <a:solidFill>
              <a:schemeClr val="accent1"/>
            </a:solidFill>
            <a:ln>
              <a:noFill/>
            </a:ln>
            <a:effectLst/>
          </c:spPr>
          <c:invertIfNegative val="0"/>
          <c:cat>
            <c:strRef>
              <c:f>'Problems faced'!$A$4:$A$13</c:f>
              <c:strCache>
                <c:ptCount val="9"/>
                <c:pt idx="0">
                  <c:v>Distracting</c:v>
                </c:pt>
                <c:pt idx="1">
                  <c:v>Distracting, Information overload</c:v>
                </c:pt>
                <c:pt idx="2">
                  <c:v>Distracting, Information overload, It's not always free</c:v>
                </c:pt>
                <c:pt idx="3">
                  <c:v>Distracting, It's not always free</c:v>
                </c:pt>
                <c:pt idx="4">
                  <c:v>Information overload</c:v>
                </c:pt>
                <c:pt idx="5">
                  <c:v>Information overload, It's not always free</c:v>
                </c:pt>
                <c:pt idx="6">
                  <c:v>It's not always free</c:v>
                </c:pt>
                <c:pt idx="7">
                  <c:v>It's not always free, No major problems</c:v>
                </c:pt>
                <c:pt idx="8">
                  <c:v>No major problems</c:v>
                </c:pt>
              </c:strCache>
            </c:strRef>
          </c:cat>
          <c:val>
            <c:numRef>
              <c:f>'Problems faced'!$B$4:$B$13</c:f>
              <c:numCache>
                <c:formatCode>General</c:formatCode>
                <c:ptCount val="9"/>
                <c:pt idx="0">
                  <c:v>10</c:v>
                </c:pt>
                <c:pt idx="1">
                  <c:v>1</c:v>
                </c:pt>
                <c:pt idx="2">
                  <c:v>1</c:v>
                </c:pt>
                <c:pt idx="3">
                  <c:v>5</c:v>
                </c:pt>
                <c:pt idx="4">
                  <c:v>3</c:v>
                </c:pt>
                <c:pt idx="5">
                  <c:v>1</c:v>
                </c:pt>
                <c:pt idx="6">
                  <c:v>11</c:v>
                </c:pt>
                <c:pt idx="7">
                  <c:v>1</c:v>
                </c:pt>
                <c:pt idx="8">
                  <c:v>7</c:v>
                </c:pt>
              </c:numCache>
            </c:numRef>
          </c:val>
          <c:extLst>
            <c:ext xmlns:c16="http://schemas.microsoft.com/office/drawing/2014/chart" uri="{C3380CC4-5D6E-409C-BE32-E72D297353CC}">
              <c16:uniqueId val="{00000000-E47A-47C7-A674-1DABD3B12C25}"/>
            </c:ext>
          </c:extLst>
        </c:ser>
        <c:dLbls>
          <c:showLegendKey val="0"/>
          <c:showVal val="0"/>
          <c:showCatName val="0"/>
          <c:showSerName val="0"/>
          <c:showPercent val="0"/>
          <c:showBubbleSize val="0"/>
        </c:dLbls>
        <c:gapWidth val="219"/>
        <c:overlap val="-27"/>
        <c:axId val="534572352"/>
        <c:axId val="534566592"/>
      </c:barChart>
      <c:catAx>
        <c:axId val="53457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66592"/>
        <c:crosses val="autoZero"/>
        <c:auto val="1"/>
        <c:lblAlgn val="ctr"/>
        <c:lblOffset val="100"/>
        <c:noMultiLvlLbl val="0"/>
      </c:catAx>
      <c:valAx>
        <c:axId val="53456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7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61944444444444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Data'!$I$1</c:f>
              <c:strCache>
                <c:ptCount val="1"/>
                <c:pt idx="0">
                  <c:v>What was your gpa last semester?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403873578302712"/>
                  <c:y val="0.1317249927092446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Data'!$C$2:$C$41</c:f>
              <c:numCache>
                <c:formatCode>General</c:formatCode>
                <c:ptCount val="40"/>
                <c:pt idx="0">
                  <c:v>3.5</c:v>
                </c:pt>
                <c:pt idx="1">
                  <c:v>2</c:v>
                </c:pt>
                <c:pt idx="2">
                  <c:v>6</c:v>
                </c:pt>
                <c:pt idx="3">
                  <c:v>2</c:v>
                </c:pt>
                <c:pt idx="4">
                  <c:v>7</c:v>
                </c:pt>
                <c:pt idx="5">
                  <c:v>6</c:v>
                </c:pt>
                <c:pt idx="6">
                  <c:v>4</c:v>
                </c:pt>
                <c:pt idx="7">
                  <c:v>2</c:v>
                </c:pt>
                <c:pt idx="8">
                  <c:v>2</c:v>
                </c:pt>
                <c:pt idx="9">
                  <c:v>5</c:v>
                </c:pt>
                <c:pt idx="10">
                  <c:v>5</c:v>
                </c:pt>
                <c:pt idx="11">
                  <c:v>7.5</c:v>
                </c:pt>
                <c:pt idx="12">
                  <c:v>8.5</c:v>
                </c:pt>
                <c:pt idx="13">
                  <c:v>5</c:v>
                </c:pt>
                <c:pt idx="14">
                  <c:v>2</c:v>
                </c:pt>
                <c:pt idx="15">
                  <c:v>1</c:v>
                </c:pt>
                <c:pt idx="16">
                  <c:v>7</c:v>
                </c:pt>
                <c:pt idx="17">
                  <c:v>2</c:v>
                </c:pt>
                <c:pt idx="18">
                  <c:v>1.5</c:v>
                </c:pt>
                <c:pt idx="19">
                  <c:v>0.5</c:v>
                </c:pt>
                <c:pt idx="20">
                  <c:v>3</c:v>
                </c:pt>
                <c:pt idx="21">
                  <c:v>4.5</c:v>
                </c:pt>
                <c:pt idx="22">
                  <c:v>5.5</c:v>
                </c:pt>
                <c:pt idx="23">
                  <c:v>3.5</c:v>
                </c:pt>
                <c:pt idx="24">
                  <c:v>3</c:v>
                </c:pt>
                <c:pt idx="25">
                  <c:v>6</c:v>
                </c:pt>
                <c:pt idx="26">
                  <c:v>2</c:v>
                </c:pt>
                <c:pt idx="27">
                  <c:v>6</c:v>
                </c:pt>
                <c:pt idx="28">
                  <c:v>2.5</c:v>
                </c:pt>
                <c:pt idx="29">
                  <c:v>4</c:v>
                </c:pt>
                <c:pt idx="30">
                  <c:v>2</c:v>
                </c:pt>
                <c:pt idx="31">
                  <c:v>1</c:v>
                </c:pt>
                <c:pt idx="32">
                  <c:v>2</c:v>
                </c:pt>
                <c:pt idx="33">
                  <c:v>9</c:v>
                </c:pt>
                <c:pt idx="34">
                  <c:v>7</c:v>
                </c:pt>
                <c:pt idx="35">
                  <c:v>2</c:v>
                </c:pt>
                <c:pt idx="36">
                  <c:v>6</c:v>
                </c:pt>
                <c:pt idx="37">
                  <c:v>4</c:v>
                </c:pt>
                <c:pt idx="38">
                  <c:v>2</c:v>
                </c:pt>
                <c:pt idx="39">
                  <c:v>5</c:v>
                </c:pt>
              </c:numCache>
            </c:numRef>
          </c:xVal>
          <c:yVal>
            <c:numRef>
              <c:f>'Cleaned Data'!$I$2:$I$41</c:f>
              <c:numCache>
                <c:formatCode>General</c:formatCode>
                <c:ptCount val="40"/>
                <c:pt idx="0">
                  <c:v>7.2</c:v>
                </c:pt>
                <c:pt idx="1">
                  <c:v>7.5</c:v>
                </c:pt>
                <c:pt idx="2">
                  <c:v>6.7</c:v>
                </c:pt>
                <c:pt idx="3">
                  <c:v>7.0170000000000003</c:v>
                </c:pt>
                <c:pt idx="4">
                  <c:v>8</c:v>
                </c:pt>
                <c:pt idx="5">
                  <c:v>8.1999999999999993</c:v>
                </c:pt>
                <c:pt idx="6">
                  <c:v>8</c:v>
                </c:pt>
                <c:pt idx="7">
                  <c:v>6.9</c:v>
                </c:pt>
                <c:pt idx="8">
                  <c:v>7</c:v>
                </c:pt>
                <c:pt idx="9">
                  <c:v>7.2</c:v>
                </c:pt>
                <c:pt idx="10">
                  <c:v>7.9829999999999997</c:v>
                </c:pt>
                <c:pt idx="11">
                  <c:v>6.8</c:v>
                </c:pt>
                <c:pt idx="12">
                  <c:v>9</c:v>
                </c:pt>
                <c:pt idx="13">
                  <c:v>7.5</c:v>
                </c:pt>
                <c:pt idx="14">
                  <c:v>6.5</c:v>
                </c:pt>
                <c:pt idx="15">
                  <c:v>6.2</c:v>
                </c:pt>
                <c:pt idx="16">
                  <c:v>7</c:v>
                </c:pt>
                <c:pt idx="17">
                  <c:v>7.4</c:v>
                </c:pt>
                <c:pt idx="18">
                  <c:v>8</c:v>
                </c:pt>
                <c:pt idx="19">
                  <c:v>6.2</c:v>
                </c:pt>
                <c:pt idx="20">
                  <c:v>6</c:v>
                </c:pt>
                <c:pt idx="21">
                  <c:v>8.43</c:v>
                </c:pt>
                <c:pt idx="22">
                  <c:v>8.6999999999999993</c:v>
                </c:pt>
                <c:pt idx="23">
                  <c:v>7.5</c:v>
                </c:pt>
                <c:pt idx="24">
                  <c:v>9</c:v>
                </c:pt>
                <c:pt idx="25">
                  <c:v>6</c:v>
                </c:pt>
                <c:pt idx="26">
                  <c:v>7.33</c:v>
                </c:pt>
                <c:pt idx="27">
                  <c:v>7.1</c:v>
                </c:pt>
                <c:pt idx="28">
                  <c:v>7</c:v>
                </c:pt>
                <c:pt idx="29">
                  <c:v>6.4</c:v>
                </c:pt>
                <c:pt idx="30">
                  <c:v>7.41</c:v>
                </c:pt>
                <c:pt idx="31">
                  <c:v>7.9</c:v>
                </c:pt>
                <c:pt idx="32">
                  <c:v>6.75</c:v>
                </c:pt>
                <c:pt idx="33">
                  <c:v>7.9</c:v>
                </c:pt>
                <c:pt idx="34">
                  <c:v>7.5</c:v>
                </c:pt>
                <c:pt idx="35">
                  <c:v>6.9</c:v>
                </c:pt>
                <c:pt idx="36">
                  <c:v>8</c:v>
                </c:pt>
                <c:pt idx="37">
                  <c:v>8.1</c:v>
                </c:pt>
                <c:pt idx="38">
                  <c:v>6.78</c:v>
                </c:pt>
                <c:pt idx="39">
                  <c:v>7.8</c:v>
                </c:pt>
              </c:numCache>
            </c:numRef>
          </c:yVal>
          <c:smooth val="0"/>
          <c:extLst>
            <c:ext xmlns:c16="http://schemas.microsoft.com/office/drawing/2014/chart" uri="{C3380CC4-5D6E-409C-BE32-E72D297353CC}">
              <c16:uniqueId val="{00000002-48E4-492E-A7DA-13A697FABFE8}"/>
            </c:ext>
          </c:extLst>
        </c:ser>
        <c:dLbls>
          <c:showLegendKey val="0"/>
          <c:showVal val="0"/>
          <c:showCatName val="0"/>
          <c:showSerName val="0"/>
          <c:showPercent val="0"/>
          <c:showBubbleSize val="0"/>
        </c:dLbls>
        <c:axId val="1064063632"/>
        <c:axId val="1064066032"/>
      </c:scatterChart>
      <c:valAx>
        <c:axId val="1064063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Online</a:t>
                </a:r>
                <a:r>
                  <a:rPr lang="en-IN" baseline="0"/>
                  <a:t> study hours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66032"/>
        <c:crosses val="autoZero"/>
        <c:crossBetween val="midCat"/>
      </c:valAx>
      <c:valAx>
        <c:axId val="1064066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SGPA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63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[Untitled form (Responses) (3).xlsx]How many days it is used!PivotTable23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'How many days it is used'!$B$3</c:f>
              <c:strCache>
                <c:ptCount val="1"/>
                <c:pt idx="0">
                  <c:v>Total</c:v>
                </c:pt>
              </c:strCache>
            </c:strRef>
          </c:tx>
          <c:spPr>
            <a:solidFill>
              <a:schemeClr val="accent1"/>
            </a:solidFill>
            <a:ln>
              <a:noFill/>
            </a:ln>
            <a:effectLst/>
          </c:spPr>
          <c:invertIfNegative val="0"/>
          <c:cat>
            <c:strRef>
              <c:f>'How many days it is used'!$A$4:$A$11</c:f>
              <c:strCache>
                <c:ptCount val="7"/>
                <c:pt idx="0">
                  <c:v>1</c:v>
                </c:pt>
                <c:pt idx="1">
                  <c:v>2</c:v>
                </c:pt>
                <c:pt idx="2">
                  <c:v>3</c:v>
                </c:pt>
                <c:pt idx="3">
                  <c:v>4</c:v>
                </c:pt>
                <c:pt idx="4">
                  <c:v>5</c:v>
                </c:pt>
                <c:pt idx="5">
                  <c:v>6</c:v>
                </c:pt>
                <c:pt idx="6">
                  <c:v>7</c:v>
                </c:pt>
              </c:strCache>
            </c:strRef>
          </c:cat>
          <c:val>
            <c:numRef>
              <c:f>'How many days it is used'!$B$4:$B$11</c:f>
              <c:numCache>
                <c:formatCode>General</c:formatCode>
                <c:ptCount val="7"/>
                <c:pt idx="0">
                  <c:v>1</c:v>
                </c:pt>
                <c:pt idx="1">
                  <c:v>2</c:v>
                </c:pt>
                <c:pt idx="2">
                  <c:v>2</c:v>
                </c:pt>
                <c:pt idx="3">
                  <c:v>7</c:v>
                </c:pt>
                <c:pt idx="4">
                  <c:v>5</c:v>
                </c:pt>
                <c:pt idx="5">
                  <c:v>9</c:v>
                </c:pt>
                <c:pt idx="6">
                  <c:v>14</c:v>
                </c:pt>
              </c:numCache>
            </c:numRef>
          </c:val>
          <c:extLst>
            <c:ext xmlns:c16="http://schemas.microsoft.com/office/drawing/2014/chart" uri="{C3380CC4-5D6E-409C-BE32-E72D297353CC}">
              <c16:uniqueId val="{00000000-49E4-4891-9692-A911664B2617}"/>
            </c:ext>
          </c:extLst>
        </c:ser>
        <c:dLbls>
          <c:showLegendKey val="0"/>
          <c:showVal val="0"/>
          <c:showCatName val="0"/>
          <c:showSerName val="0"/>
          <c:showPercent val="0"/>
          <c:showBubbleSize val="0"/>
        </c:dLbls>
        <c:gapWidth val="219"/>
        <c:overlap val="-27"/>
        <c:axId val="690663904"/>
        <c:axId val="690653824"/>
      </c:barChart>
      <c:catAx>
        <c:axId val="69066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53824"/>
        <c:crosses val="autoZero"/>
        <c:auto val="1"/>
        <c:lblAlgn val="ctr"/>
        <c:lblOffset val="100"/>
        <c:noMultiLvlLbl val="0"/>
      </c:catAx>
      <c:valAx>
        <c:axId val="69065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6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[Untitled form (Responses) (3).xlsx]No. of colleges!PivotTable31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colleges'!$B$3</c:f>
              <c:strCache>
                <c:ptCount val="1"/>
                <c:pt idx="0">
                  <c:v>Total</c:v>
                </c:pt>
              </c:strCache>
            </c:strRef>
          </c:tx>
          <c:spPr>
            <a:solidFill>
              <a:schemeClr val="accent1"/>
            </a:solidFill>
            <a:ln>
              <a:noFill/>
            </a:ln>
            <a:effectLst/>
          </c:spPr>
          <c:invertIfNegative val="0"/>
          <c:cat>
            <c:strRef>
              <c:f>'No. of colleges'!$A$4:$A$9</c:f>
              <c:strCache>
                <c:ptCount val="5"/>
                <c:pt idx="0">
                  <c:v>Acharya Jagadish Chandra Bose College</c:v>
                </c:pt>
                <c:pt idx="1">
                  <c:v>Asutosh College</c:v>
                </c:pt>
                <c:pt idx="2">
                  <c:v>Gokhale Memorial Girls' College</c:v>
                </c:pt>
                <c:pt idx="3">
                  <c:v>Shri Shikshayatan College</c:v>
                </c:pt>
                <c:pt idx="4">
                  <c:v>The Bhawanipur Education Society College</c:v>
                </c:pt>
              </c:strCache>
            </c:strRef>
          </c:cat>
          <c:val>
            <c:numRef>
              <c:f>'No. of colleges'!$B$4:$B$9</c:f>
              <c:numCache>
                <c:formatCode>General</c:formatCode>
                <c:ptCount val="5"/>
                <c:pt idx="0">
                  <c:v>7</c:v>
                </c:pt>
                <c:pt idx="1">
                  <c:v>10</c:v>
                </c:pt>
                <c:pt idx="2">
                  <c:v>4</c:v>
                </c:pt>
                <c:pt idx="3">
                  <c:v>7</c:v>
                </c:pt>
                <c:pt idx="4">
                  <c:v>12</c:v>
                </c:pt>
              </c:numCache>
            </c:numRef>
          </c:val>
          <c:extLst>
            <c:ext xmlns:c16="http://schemas.microsoft.com/office/drawing/2014/chart" uri="{C3380CC4-5D6E-409C-BE32-E72D297353CC}">
              <c16:uniqueId val="{00000000-3E79-4209-B34A-6FDB6B4476E2}"/>
            </c:ext>
          </c:extLst>
        </c:ser>
        <c:dLbls>
          <c:showLegendKey val="0"/>
          <c:showVal val="0"/>
          <c:showCatName val="0"/>
          <c:showSerName val="0"/>
          <c:showPercent val="0"/>
          <c:showBubbleSize val="0"/>
        </c:dLbls>
        <c:gapWidth val="219"/>
        <c:overlap val="-27"/>
        <c:axId val="1064006992"/>
        <c:axId val="1064007472"/>
      </c:barChart>
      <c:catAx>
        <c:axId val="10640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07472"/>
        <c:crosses val="autoZero"/>
        <c:auto val="1"/>
        <c:lblAlgn val="ctr"/>
        <c:lblOffset val="100"/>
        <c:noMultiLvlLbl val="0"/>
      </c:catAx>
      <c:valAx>
        <c:axId val="106400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561975</xdr:colOff>
      <xdr:row>1</xdr:row>
      <xdr:rowOff>142875</xdr:rowOff>
    </xdr:from>
    <xdr:to>
      <xdr:col>10</xdr:col>
      <xdr:colOff>57150</xdr:colOff>
      <xdr:row>7</xdr:row>
      <xdr:rowOff>0</xdr:rowOff>
    </xdr:to>
    <xdr:sp macro="" textlink="">
      <xdr:nvSpPr>
        <xdr:cNvPr id="2" name="TextBox 1">
          <a:extLst>
            <a:ext uri="{FF2B5EF4-FFF2-40B4-BE49-F238E27FC236}">
              <a16:creationId xmlns:a16="http://schemas.microsoft.com/office/drawing/2014/main" id="{F1F26B8A-2E8E-129C-82AD-BFB3FA45E21A}"/>
            </a:ext>
          </a:extLst>
        </xdr:cNvPr>
        <xdr:cNvSpPr txBox="1"/>
      </xdr:nvSpPr>
      <xdr:spPr>
        <a:xfrm>
          <a:off x="3524250" y="304800"/>
          <a:ext cx="48768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regression equation</a:t>
          </a:r>
          <a:r>
            <a:rPr lang="en-IN" sz="1100" baseline="0"/>
            <a:t> is :</a:t>
          </a:r>
        </a:p>
        <a:p>
          <a:endParaRPr lang="en-IN" sz="1100" baseline="0"/>
        </a:p>
        <a:p>
          <a:r>
            <a:rPr lang="en-IN" sz="1100" baseline="0"/>
            <a:t>Academic Performance(SGPA) = 6.904+ 0.116( Online Study Hours)</a:t>
          </a:r>
          <a:endParaRPr lang="en-IN" sz="1100"/>
        </a:p>
      </xdr:txBody>
    </xdr:sp>
    <xdr:clientData/>
  </xdr:twoCellAnchor>
  <xdr:twoCellAnchor>
    <xdr:from>
      <xdr:col>9</xdr:col>
      <xdr:colOff>142875</xdr:colOff>
      <xdr:row>5</xdr:row>
      <xdr:rowOff>133350</xdr:rowOff>
    </xdr:from>
    <xdr:to>
      <xdr:col>16</xdr:col>
      <xdr:colOff>457507</xdr:colOff>
      <xdr:row>22</xdr:row>
      <xdr:rowOff>85418</xdr:rowOff>
    </xdr:to>
    <xdr:graphicFrame macro="">
      <xdr:nvGraphicFramePr>
        <xdr:cNvPr id="3" name="Chart 2">
          <a:extLst>
            <a:ext uri="{FF2B5EF4-FFF2-40B4-BE49-F238E27FC236}">
              <a16:creationId xmlns:a16="http://schemas.microsoft.com/office/drawing/2014/main" id="{81489AC9-BA2C-42E6-BBCC-CD85EFB51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1</xdr:row>
      <xdr:rowOff>152400</xdr:rowOff>
    </xdr:from>
    <xdr:to>
      <xdr:col>10</xdr:col>
      <xdr:colOff>152400</xdr:colOff>
      <xdr:row>18</xdr:row>
      <xdr:rowOff>142875</xdr:rowOff>
    </xdr:to>
    <xdr:graphicFrame macro="">
      <xdr:nvGraphicFramePr>
        <xdr:cNvPr id="2" name="Chart 1">
          <a:extLst>
            <a:ext uri="{FF2B5EF4-FFF2-40B4-BE49-F238E27FC236}">
              <a16:creationId xmlns:a16="http://schemas.microsoft.com/office/drawing/2014/main" id="{8E3F173F-AE2F-2D83-6530-0A445FD5B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276225</xdr:colOff>
      <xdr:row>1</xdr:row>
      <xdr:rowOff>95250</xdr:rowOff>
    </xdr:from>
    <xdr:to>
      <xdr:col>8</xdr:col>
      <xdr:colOff>581025</xdr:colOff>
      <xdr:row>15</xdr:row>
      <xdr:rowOff>66675</xdr:rowOff>
    </xdr:to>
    <xdr:graphicFrame macro="">
      <xdr:nvGraphicFramePr>
        <xdr:cNvPr id="2" name="Chart 1">
          <a:extLst>
            <a:ext uri="{FF2B5EF4-FFF2-40B4-BE49-F238E27FC236}">
              <a16:creationId xmlns:a16="http://schemas.microsoft.com/office/drawing/2014/main" id="{AFC73804-AC1B-02A6-17C6-02049601C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142875</xdr:colOff>
      <xdr:row>2</xdr:row>
      <xdr:rowOff>28575</xdr:rowOff>
    </xdr:from>
    <xdr:to>
      <xdr:col>9</xdr:col>
      <xdr:colOff>447675</xdr:colOff>
      <xdr:row>19</xdr:row>
      <xdr:rowOff>19050</xdr:rowOff>
    </xdr:to>
    <xdr:graphicFrame macro="">
      <xdr:nvGraphicFramePr>
        <xdr:cNvPr id="2" name="Chart 1">
          <a:extLst>
            <a:ext uri="{FF2B5EF4-FFF2-40B4-BE49-F238E27FC236}">
              <a16:creationId xmlns:a16="http://schemas.microsoft.com/office/drawing/2014/main" id="{513F7E84-F43F-1715-B403-7C310F5BC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2362200</xdr:colOff>
      <xdr:row>11</xdr:row>
      <xdr:rowOff>28575</xdr:rowOff>
    </xdr:from>
    <xdr:to>
      <xdr:col>1</xdr:col>
      <xdr:colOff>4191000</xdr:colOff>
      <xdr:row>25</xdr:row>
      <xdr:rowOff>142875</xdr:rowOff>
    </xdr:to>
    <mc:AlternateContent xmlns:mc="http://schemas.openxmlformats.org/markup-compatibility/2006" xmlns:a14="http://schemas.microsoft.com/office/drawing/2010/main">
      <mc:Choice Requires="a14">
        <xdr:graphicFrame macro="">
          <xdr:nvGraphicFramePr>
            <xdr:cNvPr id="4" name="How many days of the week do you use online resource for studies?">
              <a:extLst>
                <a:ext uri="{FF2B5EF4-FFF2-40B4-BE49-F238E27FC236}">
                  <a16:creationId xmlns:a16="http://schemas.microsoft.com/office/drawing/2014/main" id="{F072FB7F-44B1-A1E4-A087-58C21D755296}"/>
                </a:ext>
              </a:extLst>
            </xdr:cNvPr>
            <xdr:cNvGraphicFramePr/>
          </xdr:nvGraphicFramePr>
          <xdr:xfrm>
            <a:off x="0" y="0"/>
            <a:ext cx="0" cy="0"/>
          </xdr:xfrm>
          <a:graphic>
            <a:graphicData uri="http://schemas.microsoft.com/office/drawing/2010/slicer">
              <sle:slicer xmlns:sle="http://schemas.microsoft.com/office/drawing/2010/slicer" name="How many days of the week do you use online resource for studies?"/>
            </a:graphicData>
          </a:graphic>
        </xdr:graphicFrame>
      </mc:Choice>
      <mc:Fallback xmlns="">
        <xdr:sp macro="" textlink="">
          <xdr:nvSpPr>
            <xdr:cNvPr id="0" name=""/>
            <xdr:cNvSpPr>
              <a:spLocks noTextEdit="1"/>
            </xdr:cNvSpPr>
          </xdr:nvSpPr>
          <xdr:spPr>
            <a:xfrm>
              <a:off x="3219450" y="18097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361950</xdr:colOff>
      <xdr:row>11</xdr:row>
      <xdr:rowOff>95250</xdr:rowOff>
    </xdr:from>
    <xdr:to>
      <xdr:col>1</xdr:col>
      <xdr:colOff>2190750</xdr:colOff>
      <xdr:row>26</xdr:row>
      <xdr:rowOff>47625</xdr:rowOff>
    </xdr:to>
    <mc:AlternateContent xmlns:mc="http://schemas.openxmlformats.org/markup-compatibility/2006" xmlns:a14="http://schemas.microsoft.com/office/drawing/2010/main">
      <mc:Choice Requires="a14">
        <xdr:graphicFrame macro="">
          <xdr:nvGraphicFramePr>
            <xdr:cNvPr id="5" name="Which online resources do you use the most for studying?">
              <a:extLst>
                <a:ext uri="{FF2B5EF4-FFF2-40B4-BE49-F238E27FC236}">
                  <a16:creationId xmlns:a16="http://schemas.microsoft.com/office/drawing/2014/main" id="{0AFA36A2-6CB6-F0BD-4F18-8F487D9E5A18}"/>
                </a:ext>
              </a:extLst>
            </xdr:cNvPr>
            <xdr:cNvGraphicFramePr/>
          </xdr:nvGraphicFramePr>
          <xdr:xfrm>
            <a:off x="0" y="0"/>
            <a:ext cx="0" cy="0"/>
          </xdr:xfrm>
          <a:graphic>
            <a:graphicData uri="http://schemas.microsoft.com/office/drawing/2010/slicer">
              <sle:slicer xmlns:sle="http://schemas.microsoft.com/office/drawing/2010/slicer" name="Which online resources do you use the most for studying?"/>
            </a:graphicData>
          </a:graphic>
        </xdr:graphicFrame>
      </mc:Choice>
      <mc:Fallback xmlns="">
        <xdr:sp macro="" textlink="">
          <xdr:nvSpPr>
            <xdr:cNvPr id="0" name=""/>
            <xdr:cNvSpPr>
              <a:spLocks noTextEdit="1"/>
            </xdr:cNvSpPr>
          </xdr:nvSpPr>
          <xdr:spPr>
            <a:xfrm>
              <a:off x="1219200" y="18764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123825</xdr:colOff>
      <xdr:row>0</xdr:row>
      <xdr:rowOff>104775</xdr:rowOff>
    </xdr:from>
    <xdr:to>
      <xdr:col>13</xdr:col>
      <xdr:colOff>123825</xdr:colOff>
      <xdr:row>15</xdr:row>
      <xdr:rowOff>57150</xdr:rowOff>
    </xdr:to>
    <mc:AlternateContent xmlns:mc="http://schemas.openxmlformats.org/markup-compatibility/2006">
      <mc:Choice xmlns:a14="http://schemas.microsoft.com/office/drawing/2010/main" Requires="a14">
        <xdr:graphicFrame macro="">
          <xdr:nvGraphicFramePr>
            <xdr:cNvPr id="8" name="Which college are you from?">
              <a:extLst>
                <a:ext uri="{FF2B5EF4-FFF2-40B4-BE49-F238E27FC236}">
                  <a16:creationId xmlns:a16="http://schemas.microsoft.com/office/drawing/2014/main" id="{A303769C-FD27-9F17-E8E2-6442B1804ADA}"/>
                </a:ext>
              </a:extLst>
            </xdr:cNvPr>
            <xdr:cNvGraphicFramePr/>
          </xdr:nvGraphicFramePr>
          <xdr:xfrm>
            <a:off x="0" y="0"/>
            <a:ext cx="0" cy="0"/>
          </xdr:xfrm>
          <a:graphic>
            <a:graphicData uri="http://schemas.microsoft.com/office/drawing/2010/slicer">
              <sle:slicer xmlns:sle="http://schemas.microsoft.com/office/drawing/2010/slicer" name="Which college are you from?"/>
            </a:graphicData>
          </a:graphic>
        </xdr:graphicFrame>
      </mc:Choice>
      <mc:Fallback>
        <xdr:sp macro="" textlink="">
          <xdr:nvSpPr>
            <xdr:cNvPr id="0" name=""/>
            <xdr:cNvSpPr>
              <a:spLocks noTextEdit="1"/>
            </xdr:cNvSpPr>
          </xdr:nvSpPr>
          <xdr:spPr>
            <a:xfrm>
              <a:off x="10296525" y="10477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xdr:colOff>
      <xdr:row>1</xdr:row>
      <xdr:rowOff>123825</xdr:rowOff>
    </xdr:from>
    <xdr:to>
      <xdr:col>9</xdr:col>
      <xdr:colOff>419100</xdr:colOff>
      <xdr:row>18</xdr:row>
      <xdr:rowOff>114300</xdr:rowOff>
    </xdr:to>
    <xdr:graphicFrame macro="">
      <xdr:nvGraphicFramePr>
        <xdr:cNvPr id="2" name="Chart 1">
          <a:extLst>
            <a:ext uri="{FF2B5EF4-FFF2-40B4-BE49-F238E27FC236}">
              <a16:creationId xmlns:a16="http://schemas.microsoft.com/office/drawing/2014/main" id="{FFF859F7-2F73-BD53-0A1B-9BC519113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571500</xdr:colOff>
      <xdr:row>39</xdr:row>
      <xdr:rowOff>76199</xdr:rowOff>
    </xdr:to>
    <xdr:sp macro="" textlink="">
      <xdr:nvSpPr>
        <xdr:cNvPr id="2" name="TextBox 1">
          <a:extLst>
            <a:ext uri="{FF2B5EF4-FFF2-40B4-BE49-F238E27FC236}">
              <a16:creationId xmlns:a16="http://schemas.microsoft.com/office/drawing/2014/main" id="{5D0888DC-86D7-7C54-5D20-2588822D6FB8}"/>
            </a:ext>
          </a:extLst>
        </xdr:cNvPr>
        <xdr:cNvSpPr txBox="1"/>
      </xdr:nvSpPr>
      <xdr:spPr>
        <a:xfrm>
          <a:off x="0" y="0"/>
          <a:ext cx="15201900" cy="639127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AVERAGE</a:t>
          </a:r>
          <a:r>
            <a:rPr lang="en-IN" sz="1100" baseline="0"/>
            <a:t> STUDY HOURS : </a:t>
          </a:r>
          <a:r>
            <a:rPr lang="en-IN" sz="1100" b="0" i="0" u="none" strike="noStrike">
              <a:solidFill>
                <a:schemeClr val="dk1"/>
              </a:solidFill>
              <a:effectLst/>
              <a:latin typeface="+mn-lt"/>
              <a:ea typeface="+mn-ea"/>
              <a:cs typeface="+mn-cs"/>
            </a:rPr>
            <a:t>3.9875</a:t>
          </a:r>
          <a:r>
            <a:rPr lang="en-IN">
              <a:effectLst/>
            </a:rPr>
            <a:t> </a:t>
          </a:r>
          <a:r>
            <a:rPr lang="en-IN" sz="1100" baseline="0"/>
            <a:t>   AVERAGE SGPA :  7.37   TOTAL RESPONSES: 40</a:t>
          </a:r>
          <a:endParaRPr lang="en-IN" sz="1100"/>
        </a:p>
      </xdr:txBody>
    </xdr:sp>
    <xdr:clientData/>
  </xdr:twoCellAnchor>
  <xdr:twoCellAnchor>
    <xdr:from>
      <xdr:col>5</xdr:col>
      <xdr:colOff>409575</xdr:colOff>
      <xdr:row>1</xdr:row>
      <xdr:rowOff>38100</xdr:rowOff>
    </xdr:from>
    <xdr:to>
      <xdr:col>10</xdr:col>
      <xdr:colOff>285750</xdr:colOff>
      <xdr:row>14</xdr:row>
      <xdr:rowOff>28575</xdr:rowOff>
    </xdr:to>
    <xdr:graphicFrame macro="">
      <xdr:nvGraphicFramePr>
        <xdr:cNvPr id="5" name="Chart 4">
          <a:extLst>
            <a:ext uri="{FF2B5EF4-FFF2-40B4-BE49-F238E27FC236}">
              <a16:creationId xmlns:a16="http://schemas.microsoft.com/office/drawing/2014/main" id="{8DA42B03-B373-4889-B08E-4F4318C55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600075</xdr:colOff>
      <xdr:row>13</xdr:row>
      <xdr:rowOff>1</xdr:rowOff>
    </xdr:from>
    <xdr:to>
      <xdr:col>15</xdr:col>
      <xdr:colOff>533400</xdr:colOff>
      <xdr:row>26</xdr:row>
      <xdr:rowOff>85726</xdr:rowOff>
    </xdr:to>
    <xdr:graphicFrame macro="">
      <xdr:nvGraphicFramePr>
        <xdr:cNvPr id="6" name="Chart 5">
          <a:extLst>
            <a:ext uri="{FF2B5EF4-FFF2-40B4-BE49-F238E27FC236}">
              <a16:creationId xmlns:a16="http://schemas.microsoft.com/office/drawing/2014/main" id="{78D52952-A0F3-451B-8853-670465626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0</xdr:colOff>
      <xdr:row>14</xdr:row>
      <xdr:rowOff>142875</xdr:rowOff>
    </xdr:from>
    <xdr:to>
      <xdr:col>20</xdr:col>
      <xdr:colOff>304800</xdr:colOff>
      <xdr:row>24</xdr:row>
      <xdr:rowOff>114300</xdr:rowOff>
    </xdr:to>
    <mc:AlternateContent xmlns:mc="http://schemas.openxmlformats.org/markup-compatibility/2006">
      <mc:Choice xmlns:a14="http://schemas.microsoft.com/office/drawing/2010/main" Requires="a14">
        <xdr:graphicFrame macro="">
          <xdr:nvGraphicFramePr>
            <xdr:cNvPr id="8" name="Which online resources do you use the most for studying? 1">
              <a:extLst>
                <a:ext uri="{FF2B5EF4-FFF2-40B4-BE49-F238E27FC236}">
                  <a16:creationId xmlns:a16="http://schemas.microsoft.com/office/drawing/2014/main" id="{22B963C6-8584-4E73-AD32-A5985E3C6F90}"/>
                </a:ext>
              </a:extLst>
            </xdr:cNvPr>
            <xdr:cNvGraphicFramePr/>
          </xdr:nvGraphicFramePr>
          <xdr:xfrm>
            <a:off x="0" y="0"/>
            <a:ext cx="0" cy="0"/>
          </xdr:xfrm>
          <a:graphic>
            <a:graphicData uri="http://schemas.microsoft.com/office/drawing/2010/slicer">
              <sle:slicer xmlns:sle="http://schemas.microsoft.com/office/drawing/2010/slicer" name="Which online resources do you use the most for studying? 1"/>
            </a:graphicData>
          </a:graphic>
        </xdr:graphicFrame>
      </mc:Choice>
      <mc:Fallback>
        <xdr:sp macro="" textlink="">
          <xdr:nvSpPr>
            <xdr:cNvPr id="0" name=""/>
            <xdr:cNvSpPr>
              <a:spLocks noTextEdit="1"/>
            </xdr:cNvSpPr>
          </xdr:nvSpPr>
          <xdr:spPr>
            <a:xfrm>
              <a:off x="11008895" y="2388770"/>
              <a:ext cx="1528010" cy="1575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323850</xdr:colOff>
      <xdr:row>1</xdr:row>
      <xdr:rowOff>57150</xdr:rowOff>
    </xdr:from>
    <xdr:to>
      <xdr:col>20</xdr:col>
      <xdr:colOff>438150</xdr:colOff>
      <xdr:row>14</xdr:row>
      <xdr:rowOff>66675</xdr:rowOff>
    </xdr:to>
    <mc:AlternateContent xmlns:mc="http://schemas.openxmlformats.org/markup-compatibility/2006">
      <mc:Choice xmlns:a14="http://schemas.microsoft.com/office/drawing/2010/main" Requires="a14">
        <xdr:graphicFrame macro="">
          <xdr:nvGraphicFramePr>
            <xdr:cNvPr id="9" name="How many days of the week do you use online resource for studies? 1">
              <a:extLst>
                <a:ext uri="{FF2B5EF4-FFF2-40B4-BE49-F238E27FC236}">
                  <a16:creationId xmlns:a16="http://schemas.microsoft.com/office/drawing/2014/main" id="{129239A5-4E5A-43F2-B6CE-B916BCF8031B}"/>
                </a:ext>
              </a:extLst>
            </xdr:cNvPr>
            <xdr:cNvGraphicFramePr/>
          </xdr:nvGraphicFramePr>
          <xdr:xfrm>
            <a:off x="0" y="0"/>
            <a:ext cx="0" cy="0"/>
          </xdr:xfrm>
          <a:graphic>
            <a:graphicData uri="http://schemas.microsoft.com/office/drawing/2010/slicer">
              <sle:slicer xmlns:sle="http://schemas.microsoft.com/office/drawing/2010/slicer" name="How many days of the week do you use online resource for studies? 1"/>
            </a:graphicData>
          </a:graphic>
        </xdr:graphicFrame>
      </mc:Choice>
      <mc:Fallback>
        <xdr:sp macro="" textlink="">
          <xdr:nvSpPr>
            <xdr:cNvPr id="0" name=""/>
            <xdr:cNvSpPr>
              <a:spLocks noTextEdit="1"/>
            </xdr:cNvSpPr>
          </xdr:nvSpPr>
          <xdr:spPr>
            <a:xfrm>
              <a:off x="11332745" y="217571"/>
              <a:ext cx="1337510" cy="209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1</xdr:row>
      <xdr:rowOff>76200</xdr:rowOff>
    </xdr:from>
    <xdr:to>
      <xdr:col>18</xdr:col>
      <xdr:colOff>257175</xdr:colOff>
      <xdr:row>14</xdr:row>
      <xdr:rowOff>57150</xdr:rowOff>
    </xdr:to>
    <mc:AlternateContent xmlns:mc="http://schemas.openxmlformats.org/markup-compatibility/2006">
      <mc:Choice xmlns:a14="http://schemas.microsoft.com/office/drawing/2010/main" Requires="a14">
        <xdr:graphicFrame macro="">
          <xdr:nvGraphicFramePr>
            <xdr:cNvPr id="10" name="Which college are you from? 1">
              <a:extLst>
                <a:ext uri="{FF2B5EF4-FFF2-40B4-BE49-F238E27FC236}">
                  <a16:creationId xmlns:a16="http://schemas.microsoft.com/office/drawing/2014/main" id="{62C2B0BE-79CB-41EA-80CD-18E0F83ACD99}"/>
                </a:ext>
              </a:extLst>
            </xdr:cNvPr>
            <xdr:cNvGraphicFramePr/>
          </xdr:nvGraphicFramePr>
          <xdr:xfrm>
            <a:off x="0" y="0"/>
            <a:ext cx="0" cy="0"/>
          </xdr:xfrm>
          <a:graphic>
            <a:graphicData uri="http://schemas.microsoft.com/office/drawing/2010/slicer">
              <sle:slicer xmlns:sle="http://schemas.microsoft.com/office/drawing/2010/slicer" name="Which college are you from? 1"/>
            </a:graphicData>
          </a:graphic>
        </xdr:graphicFrame>
      </mc:Choice>
      <mc:Fallback>
        <xdr:sp macro="" textlink="">
          <xdr:nvSpPr>
            <xdr:cNvPr id="0" name=""/>
            <xdr:cNvSpPr>
              <a:spLocks noTextEdit="1"/>
            </xdr:cNvSpPr>
          </xdr:nvSpPr>
          <xdr:spPr>
            <a:xfrm>
              <a:off x="9795209" y="236621"/>
              <a:ext cx="1470861" cy="2066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200026</xdr:colOff>
      <xdr:row>14</xdr:row>
      <xdr:rowOff>66675</xdr:rowOff>
    </xdr:from>
    <xdr:to>
      <xdr:col>10</xdr:col>
      <xdr:colOff>485776</xdr:colOff>
      <xdr:row>27</xdr:row>
      <xdr:rowOff>76200</xdr:rowOff>
    </xdr:to>
    <xdr:graphicFrame macro="">
      <xdr:nvGraphicFramePr>
        <xdr:cNvPr id="11" name="Chart 10">
          <a:extLst>
            <a:ext uri="{FF2B5EF4-FFF2-40B4-BE49-F238E27FC236}">
              <a16:creationId xmlns:a16="http://schemas.microsoft.com/office/drawing/2014/main" id="{4899307D-B49A-4D5F-BAD7-A86C4CC64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409576</xdr:colOff>
      <xdr:row>0</xdr:row>
      <xdr:rowOff>104776</xdr:rowOff>
    </xdr:from>
    <xdr:to>
      <xdr:col>15</xdr:col>
      <xdr:colOff>542925</xdr:colOff>
      <xdr:row>12</xdr:row>
      <xdr:rowOff>85726</xdr:rowOff>
    </xdr:to>
    <xdr:graphicFrame macro="">
      <xdr:nvGraphicFramePr>
        <xdr:cNvPr id="4" name="Chart 3">
          <a:extLst>
            <a:ext uri="{FF2B5EF4-FFF2-40B4-BE49-F238E27FC236}">
              <a16:creationId xmlns:a16="http://schemas.microsoft.com/office/drawing/2014/main" id="{82BB42D8-38C7-4311-A8D0-AFAACAB5A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85725</xdr:colOff>
      <xdr:row>1</xdr:row>
      <xdr:rowOff>85725</xdr:rowOff>
    </xdr:from>
    <xdr:to>
      <xdr:col>5</xdr:col>
      <xdr:colOff>361950</xdr:colOff>
      <xdr:row>14</xdr:row>
      <xdr:rowOff>85725</xdr:rowOff>
    </xdr:to>
    <xdr:graphicFrame macro="">
      <xdr:nvGraphicFramePr>
        <xdr:cNvPr id="7" name="Chart 6">
          <a:extLst>
            <a:ext uri="{FF2B5EF4-FFF2-40B4-BE49-F238E27FC236}">
              <a16:creationId xmlns:a16="http://schemas.microsoft.com/office/drawing/2014/main" id="{BD6CBB11-6E9D-405D-B4F5-EC2E3D418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arna Ghosal Nandi" refreshedDate="46196.866011458333" createdVersion="8" refreshedVersion="8" minRefreshableVersion="3" recordCount="40" xr:uid="{02BC0492-EA0D-4783-8F31-A76ED5C13ACD}">
  <cacheSource type="worksheet">
    <worksheetSource name="Form_Responses"/>
  </cacheSource>
  <cacheFields count="11">
    <cacheField name="What is your gender?" numFmtId="0">
      <sharedItems/>
    </cacheField>
    <cacheField name="Which college are you from?" numFmtId="0">
      <sharedItems count="11">
        <s v="Acharya Jagadish Chandra Bose College"/>
        <s v="Asutosh College"/>
        <s v="Gokhale Memorial Girls' College"/>
        <s v="Shri Shikshayatan College"/>
        <s v="The Bhawanipur Education Society College"/>
        <s v="Asutosh College " u="1"/>
        <s v="Gokhale Memorial Girls' College " u="1"/>
        <s v="Shri Shikshayatan College " u="1"/>
        <s v="The Bhawanipur Education Society College " u="1"/>
        <s v="Acharya Jagadish Chandra Bose College " u="1"/>
        <s v="The Bhawanipur Education  Society College" u="1"/>
      </sharedItems>
    </cacheField>
    <cacheField name="How many hours per day do you use online resources for studying ?" numFmtId="0">
      <sharedItems containsSemiMixedTypes="0" containsString="0" containsNumber="1" minValue="0.5" maxValue="9"/>
    </cacheField>
    <cacheField name="How many days of the week do you use online resource for studies?" numFmtId="0">
      <sharedItems containsSemiMixedTypes="0" containsString="0" containsNumber="1" containsInteger="1" minValue="1" maxValue="7" count="7">
        <n v="7"/>
        <n v="4"/>
        <n v="6"/>
        <n v="5"/>
        <n v="2"/>
        <n v="1"/>
        <n v="3"/>
      </sharedItems>
    </cacheField>
    <cacheField name="Which online resources do you use the most for studying?" numFmtId="0">
      <sharedItems count="4">
        <s v="ChatGPT"/>
        <s v="Youtube"/>
        <s v="Pdfs and online books"/>
        <s v="Online courses (Coursera, Udemy etc)"/>
      </sharedItems>
    </cacheField>
    <cacheField name="What is the purpose of your use?" numFmtId="0">
      <sharedItems/>
    </cacheField>
    <cacheField name="Do you think online resources help you understand your subject better than textbooks?" numFmtId="0">
      <sharedItems/>
    </cacheField>
    <cacheField name="What problems do you face while using online resources?" numFmtId="0">
      <sharedItems count="9">
        <s v="Distracting"/>
        <s v="Information overload"/>
        <s v="It's not always free"/>
        <s v="Distracting, It's not always free"/>
        <s v="No major problems"/>
        <s v="Distracting, Information overload, It's not always free"/>
        <s v="Distracting, Information overload"/>
        <s v="It's not always free, No major problems"/>
        <s v="Information overload, It's not always free"/>
      </sharedItems>
    </cacheField>
    <cacheField name="What was your gpa last semester? " numFmtId="0">
      <sharedItems containsSemiMixedTypes="0" containsString="0" containsNumber="1" minValue="6" maxValue="9"/>
    </cacheField>
    <cacheField name="Monthly expenditure on online educational resources (if any) " numFmtId="0">
      <sharedItems containsSemiMixedTypes="0" containsString="0" containsNumber="1" containsInteger="1" minValue="0" maxValue="2000"/>
    </cacheField>
    <cacheField name="Column1" numFmtId="0">
      <sharedItems containsNonDate="0" containsString="0" containsBlank="1"/>
    </cacheField>
  </cacheFields>
  <extLst>
    <ext xmlns:x14="http://schemas.microsoft.com/office/spreadsheetml/2009/9/main" uri="{725AE2AE-9491-48be-B2B4-4EB974FC3084}">
      <x14:pivotCacheDefinition pivotCacheId="2032202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Female"/>
    <x v="0"/>
    <n v="3.5"/>
    <x v="0"/>
    <x v="0"/>
    <s v="Exam preparation"/>
    <s v="Yes"/>
    <x v="0"/>
    <n v="7.2"/>
    <n v="0"/>
    <m/>
  </r>
  <r>
    <s v="Male"/>
    <x v="0"/>
    <n v="2"/>
    <x v="1"/>
    <x v="1"/>
    <s v="Exam preparation"/>
    <s v="Maybe"/>
    <x v="1"/>
    <n v="7.5"/>
    <n v="0"/>
    <m/>
  </r>
  <r>
    <s v="Female"/>
    <x v="0"/>
    <n v="6"/>
    <x v="0"/>
    <x v="2"/>
    <s v="Making notes"/>
    <s v="Maybe"/>
    <x v="2"/>
    <n v="6.7"/>
    <n v="900"/>
    <m/>
  </r>
  <r>
    <s v="Female"/>
    <x v="0"/>
    <n v="2"/>
    <x v="2"/>
    <x v="0"/>
    <s v="Making notes"/>
    <s v="Maybe"/>
    <x v="3"/>
    <n v="7.0170000000000003"/>
    <n v="0"/>
    <m/>
  </r>
  <r>
    <s v="Female"/>
    <x v="0"/>
    <n v="7"/>
    <x v="2"/>
    <x v="1"/>
    <s v="Exam preparation"/>
    <s v="Yes"/>
    <x v="4"/>
    <n v="8"/>
    <n v="0"/>
    <m/>
  </r>
  <r>
    <s v="Female"/>
    <x v="0"/>
    <n v="6"/>
    <x v="0"/>
    <x v="2"/>
    <s v="Understanding concepts"/>
    <s v="Maybe"/>
    <x v="2"/>
    <n v="8.1999999999999993"/>
    <n v="0"/>
    <m/>
  </r>
  <r>
    <s v="Female"/>
    <x v="0"/>
    <n v="4"/>
    <x v="3"/>
    <x v="0"/>
    <s v="Exam preparation"/>
    <s v="Yes"/>
    <x v="3"/>
    <n v="8"/>
    <n v="500"/>
    <m/>
  </r>
  <r>
    <s v="Male"/>
    <x v="1"/>
    <n v="2"/>
    <x v="1"/>
    <x v="1"/>
    <s v="Understanding concepts"/>
    <s v="Yes"/>
    <x v="1"/>
    <n v="6.9"/>
    <n v="0"/>
    <m/>
  </r>
  <r>
    <s v="Male"/>
    <x v="1"/>
    <n v="2"/>
    <x v="0"/>
    <x v="2"/>
    <s v="Solving numerical problems"/>
    <s v="Yes"/>
    <x v="4"/>
    <n v="7"/>
    <n v="0"/>
    <m/>
  </r>
  <r>
    <s v="Male"/>
    <x v="1"/>
    <n v="5"/>
    <x v="0"/>
    <x v="2"/>
    <s v="Understanding concepts"/>
    <s v="Maybe"/>
    <x v="5"/>
    <n v="7.2"/>
    <n v="0"/>
    <m/>
  </r>
  <r>
    <s v="Female"/>
    <x v="1"/>
    <n v="5"/>
    <x v="2"/>
    <x v="0"/>
    <s v="Making notes"/>
    <s v="Yes"/>
    <x v="0"/>
    <n v="7.9829999999999997"/>
    <n v="0"/>
    <m/>
  </r>
  <r>
    <s v="Male"/>
    <x v="1"/>
    <n v="7.5"/>
    <x v="2"/>
    <x v="0"/>
    <s v="Solving numerical problems"/>
    <s v="Yes"/>
    <x v="3"/>
    <n v="6.8"/>
    <n v="0"/>
    <m/>
  </r>
  <r>
    <s v="Male"/>
    <x v="1"/>
    <n v="8.5"/>
    <x v="0"/>
    <x v="0"/>
    <s v="Understanding concepts"/>
    <s v="Yes"/>
    <x v="0"/>
    <n v="9"/>
    <n v="0"/>
    <m/>
  </r>
  <r>
    <s v="Male"/>
    <x v="1"/>
    <n v="5"/>
    <x v="2"/>
    <x v="0"/>
    <s v="Understanding concepts"/>
    <s v="Yes"/>
    <x v="0"/>
    <n v="7.5"/>
    <n v="0"/>
    <m/>
  </r>
  <r>
    <s v="Male"/>
    <x v="1"/>
    <n v="2"/>
    <x v="1"/>
    <x v="0"/>
    <s v="Making notes"/>
    <s v="Maybe"/>
    <x v="2"/>
    <n v="6.5"/>
    <n v="0"/>
    <m/>
  </r>
  <r>
    <s v="Male"/>
    <x v="1"/>
    <n v="1"/>
    <x v="4"/>
    <x v="0"/>
    <s v="Exam preparation"/>
    <s v="Yes, Maybe"/>
    <x v="2"/>
    <n v="6.2"/>
    <n v="2000"/>
    <m/>
  </r>
  <r>
    <s v="Male"/>
    <x v="1"/>
    <n v="7"/>
    <x v="0"/>
    <x v="1"/>
    <s v="Exam preparation"/>
    <s v="Yes"/>
    <x v="2"/>
    <n v="7"/>
    <n v="0"/>
    <m/>
  </r>
  <r>
    <s v="Female"/>
    <x v="2"/>
    <n v="2"/>
    <x v="3"/>
    <x v="1"/>
    <s v="Understanding concepts"/>
    <s v="Maybe"/>
    <x v="6"/>
    <n v="7.4"/>
    <n v="0"/>
    <m/>
  </r>
  <r>
    <s v="Female"/>
    <x v="2"/>
    <n v="1.5"/>
    <x v="5"/>
    <x v="1"/>
    <s v="Understanding concepts"/>
    <s v="No, Maybe"/>
    <x v="2"/>
    <n v="8"/>
    <n v="0"/>
    <m/>
  </r>
  <r>
    <s v="Female"/>
    <x v="2"/>
    <n v="0.5"/>
    <x v="3"/>
    <x v="2"/>
    <s v="Exam preparation"/>
    <s v="Maybe"/>
    <x v="2"/>
    <n v="6.2"/>
    <n v="0"/>
    <m/>
  </r>
  <r>
    <s v="Female"/>
    <x v="2"/>
    <n v="3"/>
    <x v="1"/>
    <x v="1"/>
    <s v="Understanding concepts"/>
    <s v="Yes"/>
    <x v="0"/>
    <n v="6"/>
    <n v="0"/>
    <m/>
  </r>
  <r>
    <s v="Female"/>
    <x v="3"/>
    <n v="4.5"/>
    <x v="1"/>
    <x v="2"/>
    <s v="Making notes"/>
    <s v="Yes"/>
    <x v="0"/>
    <n v="8.43"/>
    <n v="0"/>
    <m/>
  </r>
  <r>
    <s v="Female"/>
    <x v="3"/>
    <n v="5.5"/>
    <x v="0"/>
    <x v="2"/>
    <s v="Understanding concepts"/>
    <s v="Yes"/>
    <x v="4"/>
    <n v="8.6999999999999993"/>
    <n v="0"/>
    <m/>
  </r>
  <r>
    <s v="Female"/>
    <x v="3"/>
    <n v="3.5"/>
    <x v="0"/>
    <x v="0"/>
    <s v="Making notes"/>
    <s v="Maybe"/>
    <x v="2"/>
    <n v="7.5"/>
    <n v="300"/>
    <m/>
  </r>
  <r>
    <s v="Female"/>
    <x v="3"/>
    <n v="3"/>
    <x v="1"/>
    <x v="2"/>
    <s v="Exam preparation"/>
    <s v="Yes"/>
    <x v="2"/>
    <n v="9"/>
    <n v="0"/>
    <m/>
  </r>
  <r>
    <s v="Female"/>
    <x v="3"/>
    <n v="6"/>
    <x v="6"/>
    <x v="0"/>
    <s v="Understanding concepts"/>
    <s v="Maybe"/>
    <x v="0"/>
    <n v="6"/>
    <n v="0"/>
    <m/>
  </r>
  <r>
    <s v="Female"/>
    <x v="3"/>
    <n v="2"/>
    <x v="2"/>
    <x v="0"/>
    <s v="Exam preparation"/>
    <s v="Yes"/>
    <x v="0"/>
    <n v="7.33"/>
    <n v="0"/>
    <m/>
  </r>
  <r>
    <s v="Female"/>
    <x v="3"/>
    <n v="6"/>
    <x v="0"/>
    <x v="1"/>
    <s v="Making notes"/>
    <s v="Yes"/>
    <x v="7"/>
    <n v="7.1"/>
    <n v="0"/>
    <m/>
  </r>
  <r>
    <s v="Female"/>
    <x v="4"/>
    <n v="2.5"/>
    <x v="2"/>
    <x v="2"/>
    <s v="Exam preparation"/>
    <s v="Yes"/>
    <x v="3"/>
    <n v="7"/>
    <n v="0"/>
    <m/>
  </r>
  <r>
    <s v="Female"/>
    <x v="4"/>
    <n v="4"/>
    <x v="0"/>
    <x v="0"/>
    <s v="Exam preparation"/>
    <s v="Yes"/>
    <x v="8"/>
    <n v="6.4"/>
    <n v="0"/>
    <m/>
  </r>
  <r>
    <s v="Female"/>
    <x v="4"/>
    <n v="2"/>
    <x v="1"/>
    <x v="1"/>
    <s v="Understanding concepts"/>
    <s v="Yes"/>
    <x v="0"/>
    <n v="7.41"/>
    <n v="0"/>
    <m/>
  </r>
  <r>
    <s v="Female"/>
    <x v="4"/>
    <n v="1"/>
    <x v="6"/>
    <x v="0"/>
    <s v="Making notes"/>
    <s v="Yes"/>
    <x v="4"/>
    <n v="7.9"/>
    <n v="0"/>
    <m/>
  </r>
  <r>
    <s v="Female"/>
    <x v="4"/>
    <n v="2"/>
    <x v="2"/>
    <x v="0"/>
    <s v="Solving numerical problems"/>
    <s v="Maybe"/>
    <x v="2"/>
    <n v="6.75"/>
    <n v="0"/>
    <m/>
  </r>
  <r>
    <s v="Male"/>
    <x v="4"/>
    <n v="9"/>
    <x v="0"/>
    <x v="3"/>
    <s v="Making notes"/>
    <s v="Yes"/>
    <x v="4"/>
    <n v="7.9"/>
    <n v="0"/>
    <m/>
  </r>
  <r>
    <s v="Female"/>
    <x v="4"/>
    <n v="7"/>
    <x v="4"/>
    <x v="1"/>
    <s v="Understanding concepts"/>
    <s v="No, Maybe"/>
    <x v="0"/>
    <n v="7.5"/>
    <n v="0"/>
    <m/>
  </r>
  <r>
    <s v="Female"/>
    <x v="4"/>
    <n v="2"/>
    <x v="3"/>
    <x v="2"/>
    <s v="Making notes"/>
    <s v="Yes"/>
    <x v="3"/>
    <n v="6.9"/>
    <n v="0"/>
    <m/>
  </r>
  <r>
    <s v="Female"/>
    <x v="4"/>
    <n v="6"/>
    <x v="0"/>
    <x v="2"/>
    <s v="Making notes"/>
    <s v="Yes"/>
    <x v="2"/>
    <n v="8"/>
    <n v="0"/>
    <m/>
  </r>
  <r>
    <s v="Male"/>
    <x v="4"/>
    <n v="4"/>
    <x v="2"/>
    <x v="0"/>
    <s v="Exam preparation"/>
    <s v="Yes"/>
    <x v="4"/>
    <n v="8.1"/>
    <n v="0"/>
    <m/>
  </r>
  <r>
    <s v="Female"/>
    <x v="4"/>
    <n v="2"/>
    <x v="3"/>
    <x v="0"/>
    <s v="Understanding concepts"/>
    <s v="Yes"/>
    <x v="1"/>
    <n v="6.78"/>
    <n v="0"/>
    <m/>
  </r>
  <r>
    <s v="Female"/>
    <x v="4"/>
    <n v="5"/>
    <x v="0"/>
    <x v="0"/>
    <s v="Understanding concepts"/>
    <s v="Yes"/>
    <x v="4"/>
    <n v="7.8"/>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2AEDEB-A5E5-407E-847C-905211D02947}" name="PivotTable3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1">
    <pivotField showAll="0"/>
    <pivotField axis="axisRow" dataField="1" showAll="0">
      <items count="12">
        <item x="0"/>
        <item m="1" x="9"/>
        <item x="1"/>
        <item m="1" x="5"/>
        <item x="2"/>
        <item m="1" x="6"/>
        <item x="3"/>
        <item m="1" x="7"/>
        <item m="1" x="10"/>
        <item x="4"/>
        <item m="1" x="8"/>
        <item t="default"/>
      </items>
    </pivotField>
    <pivotField showAll="0"/>
    <pivotField showAll="0"/>
    <pivotField showAll="0"/>
    <pivotField showAll="0"/>
    <pivotField showAll="0"/>
    <pivotField showAll="0"/>
    <pivotField showAll="0"/>
    <pivotField showAll="0"/>
    <pivotField showAll="0"/>
  </pivotFields>
  <rowFields count="1">
    <field x="1"/>
  </rowFields>
  <rowItems count="6">
    <i>
      <x/>
    </i>
    <i>
      <x v="2"/>
    </i>
    <i>
      <x v="4"/>
    </i>
    <i>
      <x v="6"/>
    </i>
    <i>
      <x v="9"/>
    </i>
    <i t="grand">
      <x/>
    </i>
  </rowItems>
  <colItems count="1">
    <i/>
  </colItems>
  <dataFields count="1">
    <dataField name="Count of Which college are you from?"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8476BA-4F79-4CAE-AAE3-2F139942A5CA}" name="PivotTable2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1">
    <pivotField showAll="0"/>
    <pivotField showAll="0"/>
    <pivotField showAll="0"/>
    <pivotField showAll="0"/>
    <pivotField axis="axisRow" dataField="1" showAll="0">
      <items count="5">
        <item x="0"/>
        <item x="3"/>
        <item x="2"/>
        <item x="1"/>
        <item t="default"/>
      </items>
    </pivotField>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Which online resources do you use the most for studying?" fld="4"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807997-6639-4DA4-ACF7-DD1BA52B6BF5}" name="PivotTable2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1">
    <pivotField showAll="0"/>
    <pivotField showAll="0">
      <items count="12">
        <item x="0"/>
        <item m="1" x="9"/>
        <item x="1"/>
        <item m="1" x="5"/>
        <item x="2"/>
        <item m="1" x="6"/>
        <item x="3"/>
        <item m="1" x="7"/>
        <item m="1" x="10"/>
        <item x="4"/>
        <item m="1" x="8"/>
        <item t="default"/>
      </items>
    </pivotField>
    <pivotField showAll="0"/>
    <pivotField axis="axisRow" dataField="1" showAll="0">
      <items count="8">
        <item x="5"/>
        <item x="4"/>
        <item x="6"/>
        <item x="1"/>
        <item x="3"/>
        <item x="2"/>
        <item x="0"/>
        <item t="default"/>
      </items>
    </pivotField>
    <pivotField showAll="0">
      <items count="5">
        <item x="0"/>
        <item x="3"/>
        <item x="2"/>
        <item x="1"/>
        <item t="default"/>
      </items>
    </pivotField>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How many days of the week do you use online resource for studies?" fld="3" subtotal="count" baseField="4"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585886-6A63-46DA-9D58-1FE396B99822}" name="PivotTable2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11">
    <pivotField showAll="0"/>
    <pivotField showAll="0"/>
    <pivotField showAll="0"/>
    <pivotField showAll="0"/>
    <pivotField showAll="0"/>
    <pivotField showAll="0"/>
    <pivotField showAll="0"/>
    <pivotField axis="axisRow" dataField="1" showAll="0">
      <items count="10">
        <item x="0"/>
        <item x="6"/>
        <item x="5"/>
        <item x="3"/>
        <item x="1"/>
        <item x="8"/>
        <item x="2"/>
        <item x="7"/>
        <item x="4"/>
        <item t="default"/>
      </items>
    </pivotField>
    <pivotField showAll="0"/>
    <pivotField showAll="0"/>
    <pivotField showAll="0"/>
  </pivotFields>
  <rowFields count="1">
    <field x="7"/>
  </rowFields>
  <rowItems count="10">
    <i>
      <x/>
    </i>
    <i>
      <x v="1"/>
    </i>
    <i>
      <x v="2"/>
    </i>
    <i>
      <x v="3"/>
    </i>
    <i>
      <x v="4"/>
    </i>
    <i>
      <x v="5"/>
    </i>
    <i>
      <x v="6"/>
    </i>
    <i>
      <x v="7"/>
    </i>
    <i>
      <x v="8"/>
    </i>
    <i t="grand">
      <x/>
    </i>
  </rowItems>
  <colItems count="1">
    <i/>
  </colItems>
  <dataFields count="1">
    <dataField name="Count of What problems do you face while using online resources?"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ich_college_are_you_from?" xr10:uid="{8A4A9B47-6A81-4214-B1E1-1ED38CC8A25B}" sourceName="Which college are you from?">
  <pivotTables>
    <pivotTable tabId="19" name="PivotTable31"/>
  </pivotTables>
  <data>
    <tabular pivotCacheId="2032202631" showMissing="0">
      <items count="11">
        <i x="0" s="1"/>
        <i x="1" s="1"/>
        <i x="2" s="1"/>
        <i x="3" s="1"/>
        <i x="4" s="1"/>
        <i x="9" s="1" nd="1"/>
        <i x="5" s="1" nd="1"/>
        <i x="6" s="1" nd="1"/>
        <i x="7" s="1" nd="1"/>
        <i x="1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w_many_days_of_the_week_do_you_use_online_resource_for_studies?" xr10:uid="{FBC2E040-C763-4DBC-8A1E-8A58A1ACC861}" sourceName="How many days of the week do you use online resource for studies?">
  <pivotTables>
    <pivotTable tabId="14" name="PivotTable23"/>
  </pivotTables>
  <data>
    <tabular pivotCacheId="2032202631">
      <items count="7">
        <i x="5" s="1"/>
        <i x="4" s="1"/>
        <i x="6"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ich_online_resources_do_you_use_the_most_for_studying?" xr10:uid="{B41BC79C-3004-451C-AE8F-836F7A249D85}" sourceName="Which online resources do you use the most for studying?">
  <pivotTables>
    <pivotTable tabId="14" name="PivotTable23"/>
  </pivotTables>
  <data>
    <tabular pivotCacheId="2032202631">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ich_college_are_you_from?1" xr10:uid="{73B89C90-3531-4D62-AF2C-112CF31233F9}" sourceName="Which college are you from?">
  <pivotTables>
    <pivotTable tabId="14" name="PivotTable23"/>
  </pivotTables>
  <data>
    <tabular pivotCacheId="2032202631" showMissing="0">
      <items count="11">
        <i x="0" s="1"/>
        <i x="1" s="1"/>
        <i x="2" s="1"/>
        <i x="3" s="1"/>
        <i x="4" s="1"/>
        <i x="9" s="1" nd="1"/>
        <i x="5" s="1" nd="1"/>
        <i x="6" s="1" nd="1"/>
        <i x="7" s="1" nd="1"/>
        <i x="10"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w many days of the week do you use online resource for studies?" xr10:uid="{366EE0B2-70C7-44DF-ABBC-2A506730FD7D}" cache="Slicer_How_many_days_of_the_week_do_you_use_online_resource_for_studies?" caption="How many days of the week do you use online resource for studies?" rowHeight="225425"/>
  <slicer name="Which online resources do you use the most for studying?" xr10:uid="{C6A9AB10-EC0C-4610-99F9-999E74F94043}" cache="Slicer_Which_online_resources_do_you_use_the_most_for_studying?" caption="Which online resources do you use the most for studying?" rowHeight="225425"/>
  <slicer name="Which college are you from?" xr10:uid="{0FFCD488-7CB1-4CCF-9312-353522DA3AC5}" cache="Slicer_Which_college_are_you_from?1" caption="Which college are you from?"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ich college are you from? 1" xr10:uid="{6019E0E0-F17E-433A-A821-239B169F8E18}" cache="Slicer_Which_college_are_you_from?" caption="Which college are you from?" rowHeight="225425"/>
  <slicer name="How many days of the week do you use online resource for studies? 1" xr10:uid="{6343B206-57DB-4814-9D27-0E8B94EA6E0C}" cache="Slicer_How_many_days_of_the_week_do_you_use_online_resource_for_studies?" caption="How many days of the week do you use online resource for studies?" rowHeight="225425"/>
  <slicer name="Which online resources do you use the most for studying? 1" xr10:uid="{A3AE6561-1315-449F-AD2B-81D025117B51}" cache="Slicer_Which_online_resources_do_you_use_the_most_for_studying?" caption="Which online resources do you use the most for studying?"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K41" headerRowDxfId="0">
  <autoFilter ref="A1:K41" xr:uid="{00000000-000C-0000-FFFF-FFFF00000000}"/>
  <sortState xmlns:xlrd2="http://schemas.microsoft.com/office/spreadsheetml/2017/richdata2" ref="A2:J41">
    <sortCondition ref="B2:B41"/>
  </sortState>
  <tableColumns count="11">
    <tableColumn id="2" xr3:uid="{00000000-0010-0000-0000-000002000000}" name="What is your gender?"/>
    <tableColumn id="3" xr3:uid="{00000000-0010-0000-0000-000003000000}" name="Which college are you from?"/>
    <tableColumn id="4" xr3:uid="{00000000-0010-0000-0000-000004000000}" name="How many hours per day do you use online resources for studying ?"/>
    <tableColumn id="5" xr3:uid="{00000000-0010-0000-0000-000005000000}" name="How many days of the week do you use online resource for studies?"/>
    <tableColumn id="6" xr3:uid="{00000000-0010-0000-0000-000006000000}" name="Which online resources do you use the most for studying?"/>
    <tableColumn id="7" xr3:uid="{00000000-0010-0000-0000-000007000000}" name="What is the purpose of your use?"/>
    <tableColumn id="8" xr3:uid="{00000000-0010-0000-0000-000008000000}" name="Do you think online resources help you understand your subject better than textbooks?"/>
    <tableColumn id="9" xr3:uid="{00000000-0010-0000-0000-000009000000}" name="What problems do you face while using online resources?"/>
    <tableColumn id="10" xr3:uid="{00000000-0010-0000-0000-00000A000000}" name="What was your gpa last semester? "/>
    <tableColumn id="11" xr3:uid="{00000000-0010-0000-0000-00000B000000}" name="Monthly expenditure on online educational resources (if any) "/>
    <tableColumn id="1" xr3:uid="{CB47093D-23F1-4DEC-B5D6-EC6692D7CA3C}" name="Column1"/>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0765F1C-D315-4D40-B4BB-94EAB08E66BD}">
  <we:reference id="wa104379190" version="2.0.0.0" store="en-US" storeType="OMEX"/>
  <we:alternateReferences>
    <we:reference id="wa104379190" version="2.0.0.0" store="wa104379190" storeType="OMEX"/>
  </we:alternateReferences>
  <we:properties/>
  <we:bindings>
    <we:binding id="RangeSelect" type="matrix" appref="{F483AE37-EBC3-4BF9-BCFD-C95EF743E774}"/>
    <we:binding id="InputY" type="matrix" appref="{D9A869AE-4DB9-40F7-8FDC-C3415243A555}"/>
    <we:binding id="InputX" type="matrix" appref="{3906898B-2BD0-45B5-B305-C1A7B19807D2}"/>
    <we:binding id="Output" type="matrix" appref="{176ED286-2D93-4013-AA0A-140510FAC257}"/>
  </we:bindings>
  <we:snapshot xmlns:r="http://schemas.openxmlformats.org/officeDocument/2006/relationships"/>
</we:webextension>
</file>

<file path=xl/webextensions/webextension2.xml><?xml version="1.0" encoding="utf-8"?>
<we:webextension xmlns:we="http://schemas.microsoft.com/office/webextensions/webextension/2010/11" id="{2BEA16CF-F3B2-4A8E-B18A-BCC3918AF875}">
  <we:reference id="wa200002503" version="1.0.0.0" store="en-US" storeType="OMEX"/>
  <we:alternateReferences>
    <we:reference id="wa200002503" version="1.0.0.0" store="wa20000250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85"/>
  <sheetViews>
    <sheetView zoomScale="58" zoomScaleNormal="93" workbookViewId="0">
      <pane ySplit="1" topLeftCell="A2" activePane="bottomLeft" state="frozen"/>
      <selection pane="bottomLeft" activeCell="M13" sqref="M13"/>
    </sheetView>
  </sheetViews>
  <sheetFormatPr defaultColWidth="12.7109375" defaultRowHeight="15.75" customHeight="1" x14ac:dyDescent="0.2"/>
  <cols>
    <col min="1" max="1" width="18.85546875" customWidth="1"/>
    <col min="2" max="2" width="20.42578125" customWidth="1"/>
    <col min="3" max="3" width="32.7109375" customWidth="1"/>
    <col min="4" max="4" width="55.28515625" customWidth="1"/>
    <col min="5" max="6" width="37.7109375" customWidth="1"/>
    <col min="7" max="7" width="29" customWidth="1"/>
    <col min="8" max="9" width="37.7109375" customWidth="1"/>
    <col min="10" max="10" width="52.5703125" bestFit="1" customWidth="1"/>
    <col min="11" max="11" width="51.5703125" bestFit="1" customWidth="1"/>
    <col min="12" max="17" width="18.85546875" customWidth="1"/>
  </cols>
  <sheetData>
    <row r="1" spans="1:11" ht="22.5" customHeight="1" x14ac:dyDescent="0.2">
      <c r="A1" s="5" t="s">
        <v>0</v>
      </c>
      <c r="B1" s="26" t="s">
        <v>1</v>
      </c>
      <c r="C1" s="5" t="s">
        <v>2</v>
      </c>
      <c r="D1" s="5" t="s">
        <v>3</v>
      </c>
      <c r="E1" s="5" t="s">
        <v>4</v>
      </c>
      <c r="F1" s="5" t="s">
        <v>5</v>
      </c>
      <c r="G1" s="5" t="s">
        <v>6</v>
      </c>
      <c r="H1" s="5" t="s">
        <v>7</v>
      </c>
      <c r="I1" s="5" t="s">
        <v>8</v>
      </c>
      <c r="J1" s="5" t="s">
        <v>9</v>
      </c>
      <c r="K1" s="30" t="s">
        <v>73</v>
      </c>
    </row>
    <row r="2" spans="1:11" ht="22.5" customHeight="1" x14ac:dyDescent="0.2">
      <c r="A2" s="1" t="s">
        <v>17</v>
      </c>
      <c r="B2" s="1" t="s">
        <v>34</v>
      </c>
      <c r="C2" s="1">
        <v>3.5</v>
      </c>
      <c r="D2" s="1">
        <v>7</v>
      </c>
      <c r="E2" s="1" t="s">
        <v>11</v>
      </c>
      <c r="F2" s="1" t="s">
        <v>18</v>
      </c>
      <c r="G2" s="1" t="s">
        <v>13</v>
      </c>
      <c r="H2" s="1" t="s">
        <v>16</v>
      </c>
      <c r="I2" s="1">
        <v>7.2</v>
      </c>
      <c r="J2" s="1">
        <v>0</v>
      </c>
    </row>
    <row r="3" spans="1:11" ht="22.5" customHeight="1" x14ac:dyDescent="0.2">
      <c r="A3" s="1" t="s">
        <v>10</v>
      </c>
      <c r="B3" s="1" t="s">
        <v>34</v>
      </c>
      <c r="C3" s="1">
        <v>2</v>
      </c>
      <c r="D3" s="1">
        <v>4</v>
      </c>
      <c r="E3" s="1" t="s">
        <v>19</v>
      </c>
      <c r="F3" s="1" t="s">
        <v>18</v>
      </c>
      <c r="G3" s="1" t="s">
        <v>20</v>
      </c>
      <c r="H3" s="1" t="s">
        <v>25</v>
      </c>
      <c r="I3" s="1">
        <v>7.5</v>
      </c>
      <c r="J3" s="1">
        <v>0</v>
      </c>
    </row>
    <row r="4" spans="1:11" ht="22.5" customHeight="1" x14ac:dyDescent="0.2">
      <c r="A4" s="1" t="s">
        <v>17</v>
      </c>
      <c r="B4" s="1" t="s">
        <v>34</v>
      </c>
      <c r="C4" s="1">
        <v>6</v>
      </c>
      <c r="D4" s="1">
        <v>7</v>
      </c>
      <c r="E4" s="1" t="s">
        <v>28</v>
      </c>
      <c r="F4" s="1" t="s">
        <v>22</v>
      </c>
      <c r="G4" s="1" t="s">
        <v>20</v>
      </c>
      <c r="H4" s="1" t="s">
        <v>30</v>
      </c>
      <c r="I4" s="1">
        <v>6.7</v>
      </c>
      <c r="J4" s="1">
        <v>900</v>
      </c>
    </row>
    <row r="5" spans="1:11" ht="22.5" customHeight="1" x14ac:dyDescent="0.2">
      <c r="A5" s="1" t="s">
        <v>17</v>
      </c>
      <c r="B5" s="1" t="s">
        <v>34</v>
      </c>
      <c r="C5" s="1">
        <v>2</v>
      </c>
      <c r="D5" s="1">
        <v>6</v>
      </c>
      <c r="E5" s="1" t="s">
        <v>11</v>
      </c>
      <c r="F5" s="1" t="s">
        <v>22</v>
      </c>
      <c r="G5" s="1" t="s">
        <v>20</v>
      </c>
      <c r="H5" s="1" t="s">
        <v>14</v>
      </c>
      <c r="I5" s="1">
        <v>7.0170000000000003</v>
      </c>
      <c r="J5" s="1">
        <v>0</v>
      </c>
    </row>
    <row r="6" spans="1:11" ht="22.5" customHeight="1" x14ac:dyDescent="0.2">
      <c r="A6" s="1" t="s">
        <v>17</v>
      </c>
      <c r="B6" s="1" t="s">
        <v>34</v>
      </c>
      <c r="C6" s="1">
        <v>7</v>
      </c>
      <c r="D6" s="1">
        <v>6</v>
      </c>
      <c r="E6" s="1" t="s">
        <v>19</v>
      </c>
      <c r="F6" s="1" t="s">
        <v>18</v>
      </c>
      <c r="G6" s="1" t="s">
        <v>13</v>
      </c>
      <c r="H6" s="1" t="s">
        <v>26</v>
      </c>
      <c r="I6" s="1">
        <v>8</v>
      </c>
      <c r="J6" s="1">
        <v>0</v>
      </c>
    </row>
    <row r="7" spans="1:11" ht="22.5" customHeight="1" x14ac:dyDescent="0.2">
      <c r="A7" s="1" t="s">
        <v>17</v>
      </c>
      <c r="B7" s="1" t="s">
        <v>34</v>
      </c>
      <c r="C7" s="1">
        <v>6</v>
      </c>
      <c r="D7" s="1">
        <v>7</v>
      </c>
      <c r="E7" s="1" t="s">
        <v>28</v>
      </c>
      <c r="F7" s="1" t="s">
        <v>15</v>
      </c>
      <c r="G7" s="1" t="s">
        <v>20</v>
      </c>
      <c r="H7" s="1" t="s">
        <v>30</v>
      </c>
      <c r="I7" s="1">
        <v>8.1999999999999993</v>
      </c>
      <c r="J7" s="1">
        <v>0</v>
      </c>
    </row>
    <row r="8" spans="1:11" ht="22.5" customHeight="1" x14ac:dyDescent="0.2">
      <c r="A8" s="1" t="s">
        <v>17</v>
      </c>
      <c r="B8" s="1" t="s">
        <v>34</v>
      </c>
      <c r="C8" s="1">
        <v>4</v>
      </c>
      <c r="D8" s="1">
        <v>5</v>
      </c>
      <c r="E8" s="1" t="s">
        <v>11</v>
      </c>
      <c r="F8" s="1" t="s">
        <v>18</v>
      </c>
      <c r="G8" s="1" t="s">
        <v>13</v>
      </c>
      <c r="H8" s="1" t="s">
        <v>14</v>
      </c>
      <c r="I8" s="1">
        <v>8</v>
      </c>
      <c r="J8" s="1">
        <v>500</v>
      </c>
    </row>
    <row r="9" spans="1:11" ht="22.5" customHeight="1" x14ac:dyDescent="0.2">
      <c r="A9" s="1" t="s">
        <v>10</v>
      </c>
      <c r="B9" s="1" t="s">
        <v>24</v>
      </c>
      <c r="C9" s="1">
        <v>2</v>
      </c>
      <c r="D9" s="1">
        <v>4</v>
      </c>
      <c r="E9" s="1" t="s">
        <v>19</v>
      </c>
      <c r="F9" s="1" t="s">
        <v>15</v>
      </c>
      <c r="G9" s="1" t="s">
        <v>13</v>
      </c>
      <c r="H9" s="1" t="s">
        <v>25</v>
      </c>
      <c r="I9" s="1">
        <v>6.9</v>
      </c>
      <c r="J9" s="1">
        <v>0</v>
      </c>
    </row>
    <row r="10" spans="1:11" ht="22.5" customHeight="1" x14ac:dyDescent="0.2">
      <c r="A10" s="1" t="s">
        <v>10</v>
      </c>
      <c r="B10" s="1" t="s">
        <v>24</v>
      </c>
      <c r="C10" s="1">
        <v>2</v>
      </c>
      <c r="D10" s="1">
        <v>7</v>
      </c>
      <c r="E10" s="1" t="s">
        <v>28</v>
      </c>
      <c r="F10" s="1" t="s">
        <v>12</v>
      </c>
      <c r="G10" s="1" t="s">
        <v>13</v>
      </c>
      <c r="H10" s="1" t="s">
        <v>26</v>
      </c>
      <c r="I10" s="1">
        <v>7</v>
      </c>
      <c r="J10" s="1">
        <v>0</v>
      </c>
    </row>
    <row r="11" spans="1:11" ht="22.5" customHeight="1" x14ac:dyDescent="0.2">
      <c r="A11" s="1" t="s">
        <v>10</v>
      </c>
      <c r="B11" s="1" t="s">
        <v>24</v>
      </c>
      <c r="C11" s="1">
        <v>5</v>
      </c>
      <c r="D11" s="1">
        <v>7</v>
      </c>
      <c r="E11" s="1" t="s">
        <v>28</v>
      </c>
      <c r="F11" s="1" t="s">
        <v>15</v>
      </c>
      <c r="G11" s="1" t="s">
        <v>20</v>
      </c>
      <c r="H11" s="1" t="s">
        <v>36</v>
      </c>
      <c r="I11" s="1">
        <v>7.2</v>
      </c>
      <c r="J11" s="1">
        <v>0</v>
      </c>
    </row>
    <row r="12" spans="1:11" ht="22.5" customHeight="1" x14ac:dyDescent="0.2">
      <c r="A12" s="1" t="s">
        <v>17</v>
      </c>
      <c r="B12" s="1" t="s">
        <v>24</v>
      </c>
      <c r="C12" s="1">
        <v>5</v>
      </c>
      <c r="D12" s="1">
        <v>6</v>
      </c>
      <c r="E12" s="1" t="s">
        <v>11</v>
      </c>
      <c r="F12" s="1" t="s">
        <v>22</v>
      </c>
      <c r="G12" s="1" t="s">
        <v>13</v>
      </c>
      <c r="H12" s="1" t="s">
        <v>16</v>
      </c>
      <c r="I12" s="1">
        <v>7.9829999999999997</v>
      </c>
      <c r="J12" s="1">
        <v>0</v>
      </c>
    </row>
    <row r="13" spans="1:11" ht="22.5" customHeight="1" x14ac:dyDescent="0.2">
      <c r="A13" s="1" t="s">
        <v>10</v>
      </c>
      <c r="B13" s="1" t="s">
        <v>24</v>
      </c>
      <c r="C13" s="1">
        <v>7.5</v>
      </c>
      <c r="D13" s="1">
        <v>6</v>
      </c>
      <c r="E13" s="1" t="s">
        <v>11</v>
      </c>
      <c r="F13" s="1" t="s">
        <v>12</v>
      </c>
      <c r="G13" s="1" t="s">
        <v>13</v>
      </c>
      <c r="H13" s="1" t="s">
        <v>14</v>
      </c>
      <c r="I13" s="1">
        <v>6.8</v>
      </c>
      <c r="J13" s="1">
        <v>0</v>
      </c>
    </row>
    <row r="14" spans="1:11" ht="22.5" customHeight="1" x14ac:dyDescent="0.2">
      <c r="A14" s="1" t="s">
        <v>10</v>
      </c>
      <c r="B14" s="1" t="s">
        <v>24</v>
      </c>
      <c r="C14" s="1">
        <v>8.5</v>
      </c>
      <c r="D14" s="1">
        <v>7</v>
      </c>
      <c r="E14" s="1" t="s">
        <v>11</v>
      </c>
      <c r="F14" s="1" t="s">
        <v>15</v>
      </c>
      <c r="G14" s="1" t="s">
        <v>13</v>
      </c>
      <c r="H14" s="1" t="s">
        <v>16</v>
      </c>
      <c r="I14" s="1">
        <v>9</v>
      </c>
      <c r="J14" s="1">
        <v>0</v>
      </c>
    </row>
    <row r="15" spans="1:11" ht="22.5" customHeight="1" x14ac:dyDescent="0.2">
      <c r="A15" s="1" t="s">
        <v>10</v>
      </c>
      <c r="B15" s="1" t="s">
        <v>24</v>
      </c>
      <c r="C15" s="1">
        <v>5</v>
      </c>
      <c r="D15" s="1">
        <v>6</v>
      </c>
      <c r="E15" s="1" t="s">
        <v>11</v>
      </c>
      <c r="F15" s="1" t="s">
        <v>15</v>
      </c>
      <c r="G15" s="1" t="s">
        <v>13</v>
      </c>
      <c r="H15" s="1" t="s">
        <v>16</v>
      </c>
      <c r="I15" s="1">
        <v>7.5</v>
      </c>
      <c r="J15" s="1">
        <v>0</v>
      </c>
    </row>
    <row r="16" spans="1:11" ht="22.5" customHeight="1" x14ac:dyDescent="0.2">
      <c r="A16" s="4" t="s">
        <v>10</v>
      </c>
      <c r="B16" s="4" t="s">
        <v>24</v>
      </c>
      <c r="C16" s="1">
        <v>2</v>
      </c>
      <c r="D16" s="1">
        <v>4</v>
      </c>
      <c r="E16" s="4" t="s">
        <v>11</v>
      </c>
      <c r="F16" s="4" t="s">
        <v>22</v>
      </c>
      <c r="G16" s="4" t="s">
        <v>20</v>
      </c>
      <c r="H16" s="4" t="s">
        <v>30</v>
      </c>
      <c r="I16" s="1">
        <v>6.5</v>
      </c>
      <c r="J16" s="1">
        <v>0</v>
      </c>
    </row>
    <row r="17" spans="1:10" ht="22.5" customHeight="1" x14ac:dyDescent="0.2">
      <c r="A17" s="4" t="s">
        <v>10</v>
      </c>
      <c r="B17" s="4" t="s">
        <v>24</v>
      </c>
      <c r="C17" s="1">
        <v>1</v>
      </c>
      <c r="D17" s="1">
        <v>2</v>
      </c>
      <c r="E17" s="4" t="s">
        <v>11</v>
      </c>
      <c r="F17" s="4" t="s">
        <v>18</v>
      </c>
      <c r="G17" s="4" t="s">
        <v>37</v>
      </c>
      <c r="H17" s="4" t="s">
        <v>30</v>
      </c>
      <c r="I17" s="1">
        <v>6.2</v>
      </c>
      <c r="J17" s="1">
        <v>2000</v>
      </c>
    </row>
    <row r="18" spans="1:10" ht="22.5" customHeight="1" x14ac:dyDescent="0.2">
      <c r="A18" s="4" t="s">
        <v>10</v>
      </c>
      <c r="B18" s="4" t="s">
        <v>24</v>
      </c>
      <c r="C18" s="1">
        <v>7</v>
      </c>
      <c r="D18" s="1">
        <v>7</v>
      </c>
      <c r="E18" s="4" t="s">
        <v>19</v>
      </c>
      <c r="F18" s="4" t="s">
        <v>18</v>
      </c>
      <c r="G18" s="4" t="s">
        <v>13</v>
      </c>
      <c r="H18" s="4" t="s">
        <v>30</v>
      </c>
      <c r="I18" s="1">
        <v>7</v>
      </c>
      <c r="J18" s="1">
        <v>0</v>
      </c>
    </row>
    <row r="19" spans="1:10" ht="22.5" customHeight="1" x14ac:dyDescent="0.2">
      <c r="A19" s="1" t="s">
        <v>17</v>
      </c>
      <c r="B19" s="25" t="s">
        <v>31</v>
      </c>
      <c r="C19" s="1">
        <v>2</v>
      </c>
      <c r="D19" s="1">
        <v>5</v>
      </c>
      <c r="E19" s="1" t="s">
        <v>19</v>
      </c>
      <c r="F19" s="1" t="s">
        <v>15</v>
      </c>
      <c r="G19" s="1" t="s">
        <v>20</v>
      </c>
      <c r="H19" s="1" t="s">
        <v>21</v>
      </c>
      <c r="I19" s="1">
        <v>7.4</v>
      </c>
      <c r="J19" s="1">
        <v>0</v>
      </c>
    </row>
    <row r="20" spans="1:10" ht="22.5" customHeight="1" x14ac:dyDescent="0.2">
      <c r="A20" s="1" t="s">
        <v>17</v>
      </c>
      <c r="B20" s="1" t="s">
        <v>31</v>
      </c>
      <c r="C20" s="1">
        <v>1.5</v>
      </c>
      <c r="D20" s="1">
        <v>1</v>
      </c>
      <c r="E20" s="1" t="s">
        <v>19</v>
      </c>
      <c r="F20" s="1" t="s">
        <v>15</v>
      </c>
      <c r="G20" s="1" t="s">
        <v>32</v>
      </c>
      <c r="H20" s="1" t="s">
        <v>30</v>
      </c>
      <c r="I20" s="1">
        <v>8</v>
      </c>
      <c r="J20" s="1">
        <v>0</v>
      </c>
    </row>
    <row r="21" spans="1:10" ht="22.5" customHeight="1" x14ac:dyDescent="0.2">
      <c r="A21" s="1" t="s">
        <v>17</v>
      </c>
      <c r="B21" s="1" t="s">
        <v>31</v>
      </c>
      <c r="C21" s="1">
        <v>0.5</v>
      </c>
      <c r="D21" s="1">
        <v>5</v>
      </c>
      <c r="E21" s="1" t="s">
        <v>28</v>
      </c>
      <c r="F21" s="1" t="s">
        <v>18</v>
      </c>
      <c r="G21" s="1" t="s">
        <v>20</v>
      </c>
      <c r="H21" s="1" t="s">
        <v>30</v>
      </c>
      <c r="I21" s="1">
        <v>6.2</v>
      </c>
      <c r="J21" s="1">
        <v>0</v>
      </c>
    </row>
    <row r="22" spans="1:10" ht="22.5" customHeight="1" x14ac:dyDescent="0.2">
      <c r="A22" s="1" t="s">
        <v>17</v>
      </c>
      <c r="B22" s="1" t="s">
        <v>31</v>
      </c>
      <c r="C22" s="1">
        <v>3</v>
      </c>
      <c r="D22" s="1">
        <v>4</v>
      </c>
      <c r="E22" s="1" t="s">
        <v>19</v>
      </c>
      <c r="F22" s="1" t="s">
        <v>15</v>
      </c>
      <c r="G22" s="1" t="s">
        <v>13</v>
      </c>
      <c r="H22" s="1" t="s">
        <v>16</v>
      </c>
      <c r="I22" s="1">
        <v>6</v>
      </c>
      <c r="J22" s="1">
        <v>0</v>
      </c>
    </row>
    <row r="23" spans="1:10" ht="22.5" customHeight="1" x14ac:dyDescent="0.2">
      <c r="A23" s="1" t="s">
        <v>17</v>
      </c>
      <c r="B23" s="1" t="s">
        <v>27</v>
      </c>
      <c r="C23" s="1">
        <v>4.5</v>
      </c>
      <c r="D23" s="1">
        <v>4</v>
      </c>
      <c r="E23" s="1" t="s">
        <v>28</v>
      </c>
      <c r="F23" s="1" t="s">
        <v>22</v>
      </c>
      <c r="G23" s="1" t="s">
        <v>13</v>
      </c>
      <c r="H23" s="1" t="s">
        <v>16</v>
      </c>
      <c r="I23" s="1">
        <v>8.43</v>
      </c>
      <c r="J23" s="1">
        <v>0</v>
      </c>
    </row>
    <row r="24" spans="1:10" ht="22.5" customHeight="1" x14ac:dyDescent="0.2">
      <c r="A24" s="1" t="s">
        <v>17</v>
      </c>
      <c r="B24" s="1" t="s">
        <v>27</v>
      </c>
      <c r="C24" s="1">
        <v>5.5</v>
      </c>
      <c r="D24" s="1">
        <v>7</v>
      </c>
      <c r="E24" s="1" t="s">
        <v>28</v>
      </c>
      <c r="F24" s="1" t="s">
        <v>15</v>
      </c>
      <c r="G24" s="1" t="s">
        <v>13</v>
      </c>
      <c r="H24" s="1" t="s">
        <v>26</v>
      </c>
      <c r="I24" s="1">
        <v>8.6999999999999993</v>
      </c>
      <c r="J24" s="1">
        <v>0</v>
      </c>
    </row>
    <row r="25" spans="1:10" ht="22.5" customHeight="1" x14ac:dyDescent="0.2">
      <c r="A25" s="1" t="s">
        <v>17</v>
      </c>
      <c r="B25" s="1" t="s">
        <v>27</v>
      </c>
      <c r="C25" s="1">
        <v>3.5</v>
      </c>
      <c r="D25" s="1">
        <v>7</v>
      </c>
      <c r="E25" s="1" t="s">
        <v>11</v>
      </c>
      <c r="F25" s="1" t="s">
        <v>22</v>
      </c>
      <c r="G25" s="1" t="s">
        <v>20</v>
      </c>
      <c r="H25" s="1" t="s">
        <v>30</v>
      </c>
      <c r="I25" s="1">
        <v>7.5</v>
      </c>
      <c r="J25" s="1">
        <v>300</v>
      </c>
    </row>
    <row r="26" spans="1:10" ht="22.5" customHeight="1" x14ac:dyDescent="0.2">
      <c r="A26" s="1" t="s">
        <v>17</v>
      </c>
      <c r="B26" s="1" t="s">
        <v>27</v>
      </c>
      <c r="C26" s="1">
        <v>3</v>
      </c>
      <c r="D26" s="1">
        <v>4</v>
      </c>
      <c r="E26" s="1" t="s">
        <v>28</v>
      </c>
      <c r="F26" s="1" t="s">
        <v>18</v>
      </c>
      <c r="G26" s="1" t="s">
        <v>13</v>
      </c>
      <c r="H26" s="1" t="s">
        <v>30</v>
      </c>
      <c r="I26" s="1">
        <v>9</v>
      </c>
      <c r="J26" s="1">
        <v>0</v>
      </c>
    </row>
    <row r="27" spans="1:10" ht="22.5" customHeight="1" x14ac:dyDescent="0.2">
      <c r="A27" s="1" t="s">
        <v>17</v>
      </c>
      <c r="B27" s="1" t="s">
        <v>27</v>
      </c>
      <c r="C27" s="1">
        <v>6</v>
      </c>
      <c r="D27" s="1">
        <v>3</v>
      </c>
      <c r="E27" s="1" t="s">
        <v>11</v>
      </c>
      <c r="F27" s="1" t="s">
        <v>15</v>
      </c>
      <c r="G27" s="1" t="s">
        <v>20</v>
      </c>
      <c r="H27" s="1" t="s">
        <v>16</v>
      </c>
      <c r="I27" s="1">
        <v>6</v>
      </c>
      <c r="J27" s="1">
        <v>0</v>
      </c>
    </row>
    <row r="28" spans="1:10" ht="22.5" customHeight="1" x14ac:dyDescent="0.2">
      <c r="A28" s="1" t="s">
        <v>17</v>
      </c>
      <c r="B28" s="1" t="s">
        <v>27</v>
      </c>
      <c r="C28" s="1">
        <v>2</v>
      </c>
      <c r="D28" s="1">
        <v>6</v>
      </c>
      <c r="E28" s="1" t="s">
        <v>11</v>
      </c>
      <c r="F28" s="1" t="s">
        <v>18</v>
      </c>
      <c r="G28" s="1" t="s">
        <v>13</v>
      </c>
      <c r="H28" s="1" t="s">
        <v>16</v>
      </c>
      <c r="I28" s="1">
        <v>7.33</v>
      </c>
      <c r="J28" s="1">
        <v>0</v>
      </c>
    </row>
    <row r="29" spans="1:10" ht="22.5" customHeight="1" x14ac:dyDescent="0.2">
      <c r="A29" s="1" t="s">
        <v>17</v>
      </c>
      <c r="B29" s="1" t="s">
        <v>27</v>
      </c>
      <c r="C29" s="1">
        <v>6</v>
      </c>
      <c r="D29" s="1">
        <v>7</v>
      </c>
      <c r="E29" s="1" t="s">
        <v>19</v>
      </c>
      <c r="F29" s="1" t="s">
        <v>22</v>
      </c>
      <c r="G29" s="1" t="s">
        <v>13</v>
      </c>
      <c r="H29" s="1" t="s">
        <v>23</v>
      </c>
      <c r="I29" s="1">
        <v>7.1</v>
      </c>
      <c r="J29" s="1">
        <v>0</v>
      </c>
    </row>
    <row r="30" spans="1:10" ht="22.5" customHeight="1" x14ac:dyDescent="0.2">
      <c r="A30" s="1" t="s">
        <v>17</v>
      </c>
      <c r="B30" s="1" t="s">
        <v>29</v>
      </c>
      <c r="C30" s="1">
        <v>2.5</v>
      </c>
      <c r="D30" s="1">
        <v>6</v>
      </c>
      <c r="E30" s="1" t="s">
        <v>28</v>
      </c>
      <c r="F30" s="1" t="s">
        <v>18</v>
      </c>
      <c r="G30" s="1" t="s">
        <v>13</v>
      </c>
      <c r="H30" s="1" t="s">
        <v>14</v>
      </c>
      <c r="I30" s="1">
        <v>7</v>
      </c>
      <c r="J30" s="1">
        <v>0</v>
      </c>
    </row>
    <row r="31" spans="1:10" ht="22.5" customHeight="1" x14ac:dyDescent="0.2">
      <c r="A31" s="1" t="s">
        <v>17</v>
      </c>
      <c r="B31" s="1" t="s">
        <v>29</v>
      </c>
      <c r="C31" s="1">
        <v>4</v>
      </c>
      <c r="D31" s="1">
        <v>7</v>
      </c>
      <c r="E31" s="1" t="s">
        <v>11</v>
      </c>
      <c r="F31" s="1" t="s">
        <v>18</v>
      </c>
      <c r="G31" s="1" t="s">
        <v>13</v>
      </c>
      <c r="H31" s="1" t="s">
        <v>33</v>
      </c>
      <c r="I31" s="1">
        <v>6.4</v>
      </c>
      <c r="J31" s="1">
        <v>0</v>
      </c>
    </row>
    <row r="32" spans="1:10" ht="22.5" customHeight="1" x14ac:dyDescent="0.2">
      <c r="A32" s="1" t="s">
        <v>17</v>
      </c>
      <c r="B32" s="1" t="s">
        <v>29</v>
      </c>
      <c r="C32" s="1">
        <v>2</v>
      </c>
      <c r="D32" s="1">
        <v>4</v>
      </c>
      <c r="E32" s="1" t="s">
        <v>19</v>
      </c>
      <c r="F32" s="1" t="s">
        <v>15</v>
      </c>
      <c r="G32" s="1" t="s">
        <v>13</v>
      </c>
      <c r="H32" s="1" t="s">
        <v>16</v>
      </c>
      <c r="I32" s="1">
        <v>7.41</v>
      </c>
      <c r="J32" s="1">
        <v>0</v>
      </c>
    </row>
    <row r="33" spans="1:19" ht="22.5" customHeight="1" x14ac:dyDescent="0.2">
      <c r="A33" s="1" t="s">
        <v>17</v>
      </c>
      <c r="B33" s="1" t="s">
        <v>29</v>
      </c>
      <c r="C33" s="1">
        <v>1</v>
      </c>
      <c r="D33" s="1">
        <v>3</v>
      </c>
      <c r="E33" s="1" t="s">
        <v>11</v>
      </c>
      <c r="F33" s="1" t="s">
        <v>22</v>
      </c>
      <c r="G33" s="1" t="s">
        <v>13</v>
      </c>
      <c r="H33" s="1" t="s">
        <v>26</v>
      </c>
      <c r="I33" s="1">
        <v>7.9</v>
      </c>
      <c r="J33" s="1">
        <v>0</v>
      </c>
    </row>
    <row r="34" spans="1:19" ht="22.5" customHeight="1" x14ac:dyDescent="0.2">
      <c r="A34" s="1" t="s">
        <v>17</v>
      </c>
      <c r="B34" s="1" t="s">
        <v>29</v>
      </c>
      <c r="C34" s="1">
        <v>2</v>
      </c>
      <c r="D34" s="1">
        <v>6</v>
      </c>
      <c r="E34" s="1" t="s">
        <v>11</v>
      </c>
      <c r="F34" s="1" t="s">
        <v>12</v>
      </c>
      <c r="G34" s="1" t="s">
        <v>20</v>
      </c>
      <c r="H34" s="1" t="s">
        <v>30</v>
      </c>
      <c r="I34" s="1">
        <v>6.75</v>
      </c>
      <c r="J34" s="1">
        <v>0</v>
      </c>
    </row>
    <row r="35" spans="1:19" ht="22.5" customHeight="1" x14ac:dyDescent="0.2">
      <c r="A35" s="1" t="s">
        <v>10</v>
      </c>
      <c r="B35" s="1" t="s">
        <v>29</v>
      </c>
      <c r="C35" s="1">
        <v>9</v>
      </c>
      <c r="D35" s="1">
        <v>7</v>
      </c>
      <c r="E35" s="1" t="s">
        <v>35</v>
      </c>
      <c r="F35" s="1" t="s">
        <v>22</v>
      </c>
      <c r="G35" s="1" t="s">
        <v>13</v>
      </c>
      <c r="H35" s="1" t="s">
        <v>26</v>
      </c>
      <c r="I35" s="1">
        <v>7.9</v>
      </c>
      <c r="J35" s="1">
        <v>0</v>
      </c>
    </row>
    <row r="36" spans="1:19" ht="22.5" customHeight="1" x14ac:dyDescent="0.2">
      <c r="A36" s="1" t="s">
        <v>17</v>
      </c>
      <c r="B36" s="25" t="s">
        <v>29</v>
      </c>
      <c r="C36" s="1">
        <v>7</v>
      </c>
      <c r="D36" s="1">
        <v>2</v>
      </c>
      <c r="E36" s="1" t="s">
        <v>19</v>
      </c>
      <c r="F36" s="1" t="s">
        <v>15</v>
      </c>
      <c r="G36" s="1" t="s">
        <v>32</v>
      </c>
      <c r="H36" s="1" t="s">
        <v>16</v>
      </c>
      <c r="I36" s="1">
        <v>7.5</v>
      </c>
      <c r="J36" s="1">
        <v>0</v>
      </c>
    </row>
    <row r="37" spans="1:19" ht="22.5" customHeight="1" x14ac:dyDescent="0.2">
      <c r="A37" s="1" t="s">
        <v>17</v>
      </c>
      <c r="B37" s="1" t="s">
        <v>29</v>
      </c>
      <c r="C37" s="1">
        <v>2</v>
      </c>
      <c r="D37" s="1">
        <v>5</v>
      </c>
      <c r="E37" s="1" t="s">
        <v>28</v>
      </c>
      <c r="F37" s="1" t="s">
        <v>22</v>
      </c>
      <c r="G37" s="1" t="s">
        <v>13</v>
      </c>
      <c r="H37" s="1" t="s">
        <v>14</v>
      </c>
      <c r="I37" s="1">
        <v>6.9</v>
      </c>
      <c r="J37" s="1">
        <v>0</v>
      </c>
    </row>
    <row r="38" spans="1:19" ht="22.5" customHeight="1" x14ac:dyDescent="0.2">
      <c r="A38" s="1" t="s">
        <v>17</v>
      </c>
      <c r="B38" s="1" t="s">
        <v>29</v>
      </c>
      <c r="C38" s="1">
        <v>6</v>
      </c>
      <c r="D38" s="1">
        <v>7</v>
      </c>
      <c r="E38" s="1" t="s">
        <v>28</v>
      </c>
      <c r="F38" s="1" t="s">
        <v>22</v>
      </c>
      <c r="G38" s="1" t="s">
        <v>13</v>
      </c>
      <c r="H38" s="1" t="s">
        <v>30</v>
      </c>
      <c r="I38" s="1">
        <v>8</v>
      </c>
      <c r="J38" s="1">
        <v>0</v>
      </c>
    </row>
    <row r="39" spans="1:19" ht="22.5" customHeight="1" x14ac:dyDescent="0.2">
      <c r="A39" s="4" t="s">
        <v>10</v>
      </c>
      <c r="B39" s="1" t="s">
        <v>29</v>
      </c>
      <c r="C39" s="1">
        <v>4</v>
      </c>
      <c r="D39" s="1">
        <v>6</v>
      </c>
      <c r="E39" s="4" t="s">
        <v>11</v>
      </c>
      <c r="F39" s="4" t="s">
        <v>18</v>
      </c>
      <c r="G39" s="4" t="s">
        <v>13</v>
      </c>
      <c r="H39" s="4" t="s">
        <v>26</v>
      </c>
      <c r="I39" s="1">
        <v>8.1</v>
      </c>
      <c r="J39" s="1">
        <v>0</v>
      </c>
    </row>
    <row r="40" spans="1:19" ht="22.5" customHeight="1" x14ac:dyDescent="0.2">
      <c r="A40" s="1" t="s">
        <v>17</v>
      </c>
      <c r="B40" s="1" t="s">
        <v>29</v>
      </c>
      <c r="C40" s="1">
        <v>2</v>
      </c>
      <c r="D40" s="1">
        <v>5</v>
      </c>
      <c r="E40" s="1" t="s">
        <v>11</v>
      </c>
      <c r="F40" s="1" t="s">
        <v>15</v>
      </c>
      <c r="G40" s="1" t="s">
        <v>13</v>
      </c>
      <c r="H40" s="1" t="s">
        <v>25</v>
      </c>
      <c r="I40" s="1">
        <v>6.78</v>
      </c>
      <c r="J40" s="1">
        <v>0</v>
      </c>
    </row>
    <row r="41" spans="1:19" ht="22.5" customHeight="1" x14ac:dyDescent="0.2">
      <c r="A41" s="1" t="s">
        <v>17</v>
      </c>
      <c r="B41" s="1" t="s">
        <v>29</v>
      </c>
      <c r="C41" s="1">
        <v>5</v>
      </c>
      <c r="D41" s="1">
        <v>7</v>
      </c>
      <c r="E41" s="1" t="s">
        <v>11</v>
      </c>
      <c r="F41" s="1" t="s">
        <v>15</v>
      </c>
      <c r="G41" s="1" t="s">
        <v>13</v>
      </c>
      <c r="H41" s="1" t="s">
        <v>26</v>
      </c>
      <c r="I41" s="1">
        <v>7.8</v>
      </c>
      <c r="J41" s="1">
        <v>0</v>
      </c>
    </row>
    <row r="43" spans="1:19" ht="15.75" customHeight="1" x14ac:dyDescent="0.2">
      <c r="A43" s="21" t="s">
        <v>65</v>
      </c>
      <c r="D43" s="10">
        <f>AVERAGE(Form_Responses[How many hours per day do you use online resources for studying ?])</f>
        <v>3.9874999999999998</v>
      </c>
      <c r="E43" s="10">
        <f>AVERAGE(D2:D41)</f>
        <v>5.4</v>
      </c>
      <c r="J43" s="10">
        <f>AVERAGE(I2:I41)</f>
        <v>7.37</v>
      </c>
      <c r="K43" s="10">
        <f>AVERAGE(J2:J41)</f>
        <v>92.5</v>
      </c>
    </row>
    <row r="44" spans="1:19" ht="15.75" customHeight="1" x14ac:dyDescent="0.2">
      <c r="A44" s="21" t="s">
        <v>66</v>
      </c>
      <c r="D44" s="22">
        <f>MEDIAN(C2:C41)</f>
        <v>3.75</v>
      </c>
      <c r="E44" s="22">
        <f>MEDIAN(D2:D41)</f>
        <v>6</v>
      </c>
      <c r="J44" s="22">
        <f>MEDIAN(I2:I41)</f>
        <v>7.3650000000000002</v>
      </c>
      <c r="K44" s="22">
        <f>MEDIAN(J2:J41)</f>
        <v>0</v>
      </c>
    </row>
    <row r="45" spans="1:19" ht="15.75" customHeight="1" x14ac:dyDescent="0.2">
      <c r="A45" s="21" t="s">
        <v>67</v>
      </c>
      <c r="D45" s="24">
        <f>MIN(C2:C41)</f>
        <v>0.5</v>
      </c>
      <c r="E45" s="7">
        <f>MIN(D2:D41)</f>
        <v>1</v>
      </c>
      <c r="I45" s="26"/>
      <c r="J45" s="5"/>
      <c r="K45" s="26"/>
      <c r="L45" s="5"/>
      <c r="M45" s="5"/>
      <c r="N45" s="5"/>
      <c r="O45" s="5"/>
      <c r="P45" s="5"/>
      <c r="Q45" s="5"/>
      <c r="R45" s="5"/>
      <c r="S45" s="5"/>
    </row>
    <row r="46" spans="1:19" ht="15.75" customHeight="1" x14ac:dyDescent="0.2">
      <c r="A46" s="21" t="s">
        <v>68</v>
      </c>
      <c r="D46" s="23">
        <f>MAX(C2:C41)</f>
        <v>9</v>
      </c>
      <c r="E46" s="23">
        <f>MAX(D2:D41)</f>
        <v>7</v>
      </c>
      <c r="I46" s="2"/>
      <c r="J46" s="1"/>
      <c r="K46" s="1"/>
      <c r="L46" s="1"/>
      <c r="M46" s="1"/>
      <c r="N46" s="1"/>
      <c r="O46" s="1"/>
      <c r="P46" s="1"/>
      <c r="Q46" s="1"/>
      <c r="R46" s="1"/>
      <c r="S46" s="1"/>
    </row>
    <row r="47" spans="1:19" ht="15.75" customHeight="1" x14ac:dyDescent="0.2">
      <c r="I47" s="2"/>
      <c r="J47" s="1"/>
      <c r="K47" s="1"/>
      <c r="L47" s="1"/>
      <c r="M47" s="1"/>
      <c r="N47" s="1"/>
      <c r="O47" s="1"/>
      <c r="P47" s="1"/>
      <c r="Q47" s="1"/>
      <c r="R47" s="1"/>
      <c r="S47" s="1"/>
    </row>
    <row r="48" spans="1:19" ht="15.75" customHeight="1" x14ac:dyDescent="0.2">
      <c r="I48" s="2"/>
      <c r="J48" s="1"/>
      <c r="K48" s="1"/>
      <c r="L48" s="1"/>
      <c r="M48" s="1"/>
      <c r="N48" s="1"/>
      <c r="O48" s="1"/>
      <c r="P48" s="1"/>
      <c r="Q48" s="1"/>
      <c r="R48" s="1"/>
      <c r="S48" s="1"/>
    </row>
    <row r="49" spans="9:19" ht="15.75" customHeight="1" x14ac:dyDescent="0.2">
      <c r="I49" s="2"/>
      <c r="J49" s="1"/>
      <c r="K49" s="1"/>
      <c r="L49" s="1"/>
      <c r="M49" s="1"/>
      <c r="N49" s="1"/>
      <c r="O49" s="1"/>
      <c r="P49" s="1"/>
      <c r="Q49" s="1"/>
      <c r="R49" s="1"/>
      <c r="S49" s="1"/>
    </row>
    <row r="50" spans="9:19" ht="15.75" customHeight="1" x14ac:dyDescent="0.2">
      <c r="I50" s="2"/>
      <c r="J50" s="1"/>
      <c r="K50" s="1"/>
      <c r="L50" s="1"/>
      <c r="M50" s="1"/>
      <c r="N50" s="1"/>
      <c r="O50" s="1"/>
      <c r="P50" s="1"/>
      <c r="Q50" s="1"/>
      <c r="R50" s="1"/>
      <c r="S50" s="1"/>
    </row>
    <row r="51" spans="9:19" ht="15.75" customHeight="1" x14ac:dyDescent="0.2">
      <c r="I51" s="2"/>
      <c r="J51" s="1"/>
      <c r="K51" s="1"/>
      <c r="L51" s="1"/>
      <c r="M51" s="1"/>
      <c r="N51" s="1"/>
      <c r="O51" s="1"/>
      <c r="P51" s="1"/>
      <c r="Q51" s="1"/>
      <c r="R51" s="1"/>
      <c r="S51" s="1"/>
    </row>
    <row r="52" spans="9:19" ht="15.75" customHeight="1" x14ac:dyDescent="0.2">
      <c r="I52" s="2"/>
      <c r="J52" s="1"/>
      <c r="K52" s="1"/>
      <c r="L52" s="1"/>
      <c r="M52" s="1"/>
      <c r="N52" s="1"/>
      <c r="O52" s="1"/>
      <c r="P52" s="1"/>
      <c r="Q52" s="1"/>
      <c r="R52" s="1"/>
      <c r="S52" s="1"/>
    </row>
    <row r="53" spans="9:19" ht="15.75" customHeight="1" x14ac:dyDescent="0.2">
      <c r="I53" s="2"/>
      <c r="J53" s="1"/>
      <c r="K53" s="1"/>
      <c r="L53" s="1"/>
      <c r="M53" s="1"/>
      <c r="N53" s="1"/>
      <c r="O53" s="1"/>
      <c r="P53" s="1"/>
      <c r="Q53" s="1"/>
      <c r="R53" s="1"/>
      <c r="S53" s="1"/>
    </row>
    <row r="54" spans="9:19" ht="15.75" customHeight="1" x14ac:dyDescent="0.2">
      <c r="I54" s="2"/>
      <c r="J54" s="1"/>
      <c r="K54" s="1"/>
      <c r="L54" s="1"/>
      <c r="M54" s="1"/>
      <c r="N54" s="1"/>
      <c r="O54" s="1"/>
      <c r="P54" s="1"/>
      <c r="Q54" s="1"/>
      <c r="R54" s="1"/>
      <c r="S54" s="1"/>
    </row>
    <row r="55" spans="9:19" ht="15.75" customHeight="1" x14ac:dyDescent="0.2">
      <c r="I55" s="2"/>
      <c r="J55" s="1"/>
      <c r="K55" s="1"/>
      <c r="L55" s="1"/>
      <c r="M55" s="1"/>
      <c r="N55" s="1"/>
      <c r="O55" s="1"/>
      <c r="P55" s="1"/>
      <c r="Q55" s="1"/>
      <c r="R55" s="1"/>
      <c r="S55" s="1"/>
    </row>
    <row r="56" spans="9:19" ht="15.75" customHeight="1" x14ac:dyDescent="0.2">
      <c r="I56" s="2"/>
      <c r="J56" s="1"/>
      <c r="K56" s="1"/>
      <c r="L56" s="1"/>
      <c r="M56" s="1"/>
      <c r="N56" s="1"/>
      <c r="O56" s="1"/>
      <c r="P56" s="1"/>
      <c r="Q56" s="1"/>
      <c r="R56" s="1"/>
      <c r="S56" s="1"/>
    </row>
    <row r="57" spans="9:19" ht="15.75" customHeight="1" x14ac:dyDescent="0.2">
      <c r="I57" s="2"/>
      <c r="J57" s="1"/>
      <c r="K57" s="1"/>
      <c r="L57" s="1"/>
      <c r="M57" s="1"/>
      <c r="N57" s="1"/>
      <c r="O57" s="1"/>
      <c r="P57" s="1"/>
      <c r="Q57" s="1"/>
      <c r="R57" s="1"/>
      <c r="S57" s="1"/>
    </row>
    <row r="58" spans="9:19" ht="15.75" customHeight="1" x14ac:dyDescent="0.2">
      <c r="I58" s="2"/>
      <c r="J58" s="1"/>
      <c r="K58" s="1"/>
      <c r="L58" s="1"/>
      <c r="M58" s="1"/>
      <c r="N58" s="1"/>
      <c r="O58" s="1"/>
      <c r="P58" s="1"/>
      <c r="Q58" s="1"/>
      <c r="R58" s="1"/>
      <c r="S58" s="1"/>
    </row>
    <row r="59" spans="9:19" ht="15.75" customHeight="1" x14ac:dyDescent="0.2">
      <c r="I59" s="2"/>
      <c r="J59" s="1"/>
      <c r="K59" s="1"/>
      <c r="L59" s="1"/>
      <c r="M59" s="1"/>
      <c r="N59" s="1"/>
      <c r="O59" s="1"/>
      <c r="P59" s="1"/>
      <c r="Q59" s="1"/>
      <c r="R59" s="1"/>
      <c r="S59" s="1"/>
    </row>
    <row r="60" spans="9:19" ht="15.75" customHeight="1" x14ac:dyDescent="0.2">
      <c r="I60" s="3"/>
      <c r="J60" s="4"/>
      <c r="K60" s="4"/>
      <c r="L60" s="1"/>
      <c r="M60" s="1"/>
      <c r="N60" s="4"/>
      <c r="O60" s="4"/>
      <c r="P60" s="4"/>
      <c r="Q60" s="4"/>
      <c r="R60" s="1"/>
      <c r="S60" s="1"/>
    </row>
    <row r="61" spans="9:19" ht="15.75" customHeight="1" x14ac:dyDescent="0.2">
      <c r="I61" s="3"/>
      <c r="J61" s="4"/>
      <c r="K61" s="4"/>
      <c r="L61" s="1"/>
      <c r="M61" s="1"/>
      <c r="N61" s="4"/>
      <c r="O61" s="4"/>
      <c r="P61" s="4"/>
      <c r="Q61" s="4"/>
      <c r="R61" s="1"/>
      <c r="S61" s="1"/>
    </row>
    <row r="62" spans="9:19" ht="15.75" customHeight="1" x14ac:dyDescent="0.2">
      <c r="I62" s="3"/>
      <c r="J62" s="4"/>
      <c r="K62" s="4"/>
      <c r="L62" s="1"/>
      <c r="M62" s="1"/>
      <c r="N62" s="4"/>
      <c r="O62" s="4"/>
      <c r="P62" s="4"/>
      <c r="Q62" s="4"/>
      <c r="R62" s="1"/>
      <c r="S62" s="1"/>
    </row>
    <row r="63" spans="9:19" ht="15.75" customHeight="1" x14ac:dyDescent="0.2">
      <c r="I63" s="2"/>
      <c r="J63" s="1"/>
      <c r="K63" s="25"/>
      <c r="L63" s="1"/>
      <c r="M63" s="1"/>
      <c r="N63" s="1"/>
      <c r="O63" s="1"/>
      <c r="P63" s="1"/>
      <c r="Q63" s="1"/>
      <c r="R63" s="1"/>
      <c r="S63" s="1"/>
    </row>
    <row r="64" spans="9:19" ht="15.75" customHeight="1" x14ac:dyDescent="0.2">
      <c r="I64" s="2"/>
      <c r="J64" s="1"/>
      <c r="K64" s="1"/>
      <c r="L64" s="1"/>
      <c r="M64" s="1"/>
      <c r="N64" s="1"/>
      <c r="O64" s="1"/>
      <c r="P64" s="1"/>
      <c r="Q64" s="1"/>
      <c r="R64" s="1"/>
      <c r="S64" s="1"/>
    </row>
    <row r="65" spans="9:19" ht="15.75" customHeight="1" x14ac:dyDescent="0.2">
      <c r="I65" s="2"/>
      <c r="J65" s="1"/>
      <c r="K65" s="1"/>
      <c r="L65" s="1"/>
      <c r="M65" s="1"/>
      <c r="N65" s="1"/>
      <c r="O65" s="1"/>
      <c r="P65" s="1"/>
      <c r="Q65" s="1"/>
      <c r="R65" s="1"/>
      <c r="S65" s="1"/>
    </row>
    <row r="66" spans="9:19" ht="15.75" customHeight="1" x14ac:dyDescent="0.2">
      <c r="I66" s="2"/>
      <c r="J66" s="1"/>
      <c r="K66" s="1"/>
      <c r="L66" s="1"/>
      <c r="M66" s="1"/>
      <c r="N66" s="1"/>
      <c r="O66" s="1"/>
      <c r="P66" s="1"/>
      <c r="Q66" s="1"/>
      <c r="R66" s="1"/>
      <c r="S66" s="1"/>
    </row>
    <row r="67" spans="9:19" ht="15.75" customHeight="1" x14ac:dyDescent="0.2">
      <c r="I67" s="2"/>
      <c r="J67" s="1"/>
      <c r="K67" s="1"/>
      <c r="L67" s="1"/>
      <c r="M67" s="1"/>
      <c r="N67" s="1"/>
      <c r="O67" s="1"/>
      <c r="P67" s="1"/>
      <c r="Q67" s="1"/>
      <c r="R67" s="1"/>
      <c r="S67" s="1"/>
    </row>
    <row r="68" spans="9:19" ht="15.75" customHeight="1" x14ac:dyDescent="0.2">
      <c r="I68" s="2"/>
      <c r="J68" s="1"/>
      <c r="K68" s="1"/>
      <c r="L68" s="1"/>
      <c r="M68" s="1"/>
      <c r="N68" s="1"/>
      <c r="O68" s="1"/>
      <c r="P68" s="1"/>
      <c r="Q68" s="1"/>
      <c r="R68" s="1"/>
      <c r="S68" s="1"/>
    </row>
    <row r="69" spans="9:19" ht="15.75" customHeight="1" x14ac:dyDescent="0.2">
      <c r="I69" s="2"/>
      <c r="J69" s="1"/>
      <c r="K69" s="1"/>
      <c r="L69" s="1"/>
      <c r="M69" s="1"/>
      <c r="N69" s="1"/>
      <c r="O69" s="1"/>
      <c r="P69" s="1"/>
      <c r="Q69" s="1"/>
      <c r="R69" s="1"/>
      <c r="S69" s="1"/>
    </row>
    <row r="70" spans="9:19" ht="15.75" customHeight="1" x14ac:dyDescent="0.2">
      <c r="I70" s="2"/>
      <c r="J70" s="1"/>
      <c r="K70" s="1"/>
      <c r="L70" s="1"/>
      <c r="M70" s="1"/>
      <c r="N70" s="1"/>
      <c r="O70" s="1"/>
      <c r="P70" s="1"/>
      <c r="Q70" s="1"/>
      <c r="R70" s="1"/>
      <c r="S70" s="1"/>
    </row>
    <row r="71" spans="9:19" ht="15.75" customHeight="1" x14ac:dyDescent="0.2">
      <c r="I71" s="2"/>
      <c r="J71" s="1"/>
      <c r="K71" s="1"/>
      <c r="L71" s="1"/>
      <c r="M71" s="1"/>
      <c r="N71" s="1"/>
      <c r="O71" s="1"/>
      <c r="P71" s="1"/>
      <c r="Q71" s="1"/>
      <c r="R71" s="1"/>
      <c r="S71" s="1"/>
    </row>
    <row r="72" spans="9:19" ht="15.75" customHeight="1" x14ac:dyDescent="0.2">
      <c r="I72" s="2"/>
      <c r="J72" s="1"/>
      <c r="K72" s="1"/>
      <c r="L72" s="1"/>
      <c r="M72" s="1"/>
      <c r="N72" s="1"/>
      <c r="O72" s="1"/>
      <c r="P72" s="1"/>
      <c r="Q72" s="1"/>
      <c r="R72" s="1"/>
      <c r="S72" s="1"/>
    </row>
    <row r="73" spans="9:19" ht="15.75" customHeight="1" x14ac:dyDescent="0.2">
      <c r="I73" s="2"/>
      <c r="J73" s="1"/>
      <c r="K73" s="1"/>
      <c r="L73" s="1"/>
      <c r="M73" s="1"/>
      <c r="N73" s="1"/>
      <c r="O73" s="1"/>
      <c r="P73" s="1"/>
      <c r="Q73" s="1"/>
      <c r="R73" s="1"/>
      <c r="S73" s="1"/>
    </row>
    <row r="74" spans="9:19" ht="15.75" customHeight="1" x14ac:dyDescent="0.2">
      <c r="I74" s="2"/>
      <c r="J74" s="1"/>
      <c r="K74" s="1"/>
      <c r="L74" s="1"/>
      <c r="M74" s="1"/>
      <c r="N74" s="1"/>
      <c r="O74" s="1"/>
      <c r="P74" s="1"/>
      <c r="Q74" s="1"/>
      <c r="R74" s="1"/>
      <c r="S74" s="1"/>
    </row>
    <row r="75" spans="9:19" ht="15.75" customHeight="1" x14ac:dyDescent="0.2">
      <c r="I75" s="2"/>
      <c r="J75" s="1"/>
      <c r="K75" s="1"/>
      <c r="L75" s="1"/>
      <c r="M75" s="1"/>
      <c r="N75" s="1"/>
      <c r="O75" s="1"/>
      <c r="P75" s="1"/>
      <c r="Q75" s="1"/>
      <c r="R75" s="1"/>
      <c r="S75" s="1"/>
    </row>
    <row r="76" spans="9:19" ht="15.75" customHeight="1" x14ac:dyDescent="0.2">
      <c r="I76" s="2"/>
      <c r="J76" s="1"/>
      <c r="K76" s="1"/>
      <c r="L76" s="1"/>
      <c r="M76" s="1"/>
      <c r="N76" s="1"/>
      <c r="O76" s="1"/>
      <c r="P76" s="1"/>
      <c r="Q76" s="1"/>
      <c r="R76" s="1"/>
      <c r="S76" s="1"/>
    </row>
    <row r="77" spans="9:19" ht="15.75" customHeight="1" x14ac:dyDescent="0.2">
      <c r="I77" s="2"/>
      <c r="J77" s="1"/>
      <c r="K77" s="1"/>
      <c r="L77" s="1"/>
      <c r="M77" s="1"/>
      <c r="N77" s="1"/>
      <c r="O77" s="1"/>
      <c r="P77" s="1"/>
      <c r="Q77" s="1"/>
      <c r="R77" s="1"/>
      <c r="S77" s="1"/>
    </row>
    <row r="78" spans="9:19" ht="15.75" customHeight="1" x14ac:dyDescent="0.2">
      <c r="I78" s="2"/>
      <c r="J78" s="1"/>
      <c r="K78" s="1"/>
      <c r="L78" s="1"/>
      <c r="M78" s="1"/>
      <c r="N78" s="1"/>
      <c r="O78" s="1"/>
      <c r="P78" s="1"/>
      <c r="Q78" s="1"/>
      <c r="R78" s="1"/>
      <c r="S78" s="1"/>
    </row>
    <row r="79" spans="9:19" ht="15.75" customHeight="1" x14ac:dyDescent="0.2">
      <c r="I79" s="2"/>
      <c r="J79" s="1"/>
      <c r="K79" s="1"/>
      <c r="L79" s="1"/>
      <c r="M79" s="1"/>
      <c r="N79" s="1"/>
      <c r="O79" s="1"/>
      <c r="P79" s="1"/>
      <c r="Q79" s="1"/>
      <c r="R79" s="1"/>
      <c r="S79" s="1"/>
    </row>
    <row r="80" spans="9:19" ht="15.75" customHeight="1" x14ac:dyDescent="0.2">
      <c r="I80" s="2"/>
      <c r="J80" s="1"/>
      <c r="K80" s="25"/>
      <c r="L80" s="1"/>
      <c r="M80" s="1"/>
      <c r="N80" s="1"/>
      <c r="O80" s="1"/>
      <c r="P80" s="1"/>
      <c r="Q80" s="1"/>
      <c r="R80" s="1"/>
      <c r="S80" s="1"/>
    </row>
    <row r="81" spans="9:19" ht="15.75" customHeight="1" x14ac:dyDescent="0.2">
      <c r="I81" s="2"/>
      <c r="J81" s="1"/>
      <c r="K81" s="1"/>
      <c r="L81" s="1"/>
      <c r="M81" s="1"/>
      <c r="N81" s="1"/>
      <c r="O81" s="1"/>
      <c r="P81" s="1"/>
      <c r="Q81" s="1"/>
      <c r="R81" s="1"/>
      <c r="S81" s="1"/>
    </row>
    <row r="82" spans="9:19" ht="15.75" customHeight="1" x14ac:dyDescent="0.2">
      <c r="I82" s="2"/>
      <c r="J82" s="1"/>
      <c r="K82" s="1"/>
      <c r="L82" s="1"/>
      <c r="M82" s="1"/>
      <c r="N82" s="1"/>
      <c r="O82" s="1"/>
      <c r="P82" s="1"/>
      <c r="Q82" s="1"/>
      <c r="R82" s="1"/>
      <c r="S82" s="1"/>
    </row>
    <row r="83" spans="9:19" ht="15.75" customHeight="1" x14ac:dyDescent="0.2">
      <c r="I83" s="3"/>
      <c r="J83" s="4"/>
      <c r="K83" s="1"/>
      <c r="L83" s="1"/>
      <c r="M83" s="1"/>
      <c r="N83" s="4"/>
      <c r="O83" s="4"/>
      <c r="P83" s="4"/>
      <c r="Q83" s="4"/>
      <c r="R83" s="1"/>
      <c r="S83" s="1"/>
    </row>
    <row r="84" spans="9:19" ht="15.75" customHeight="1" x14ac:dyDescent="0.2">
      <c r="I84" s="2"/>
      <c r="J84" s="1"/>
      <c r="K84" s="1"/>
      <c r="L84" s="1"/>
      <c r="M84" s="1"/>
      <c r="N84" s="1"/>
      <c r="O84" s="1"/>
      <c r="P84" s="1"/>
      <c r="Q84" s="1"/>
      <c r="R84" s="1"/>
      <c r="S84" s="1"/>
    </row>
    <row r="85" spans="9:19" ht="15.75" customHeight="1" x14ac:dyDescent="0.2">
      <c r="I85" s="2"/>
      <c r="J85" s="1"/>
      <c r="K85" s="1"/>
      <c r="L85" s="1"/>
      <c r="M85" s="1"/>
      <c r="N85" s="1"/>
      <c r="O85" s="1"/>
      <c r="P85" s="1"/>
      <c r="Q85" s="1"/>
      <c r="R85" s="1"/>
      <c r="S85" s="1"/>
    </row>
  </sheetData>
  <phoneticPr fontId="5" type="noConversion"/>
  <pageMargins left="0.7" right="0.7" top="0.75" bottom="0.75" header="0.3" footer="0.3"/>
  <tableParts count="1">
    <tablePart r:id="rId1"/>
  </tableParts>
  <extLst>
    <ext xmlns:x15="http://schemas.microsoft.com/office/spreadsheetml/2010/11/main" uri="{F7C9EE02-42E1-4005-9D12-6889AFFD525C}">
      <x15:webExtensions xmlns:xm="http://schemas.microsoft.com/office/excel/2006/main">
        <x15:webExtension appRef="{F483AE37-EBC3-4BF9-BCFD-C95EF743E774}">
          <xm:f>'Cleaned Data'!1:1048576</xm:f>
        </x15:webExtension>
        <x15:webExtension appRef="{176ED286-2D93-4013-AA0A-140510FAC257}">
          <xm:f>'Cleaned Data'!$L$2:$U$19</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3AD6-ACC0-4597-A148-16E5CF3825CB}">
  <dimension ref="A1:I18"/>
  <sheetViews>
    <sheetView workbookViewId="0">
      <selection activeCell="K22" sqref="K22"/>
    </sheetView>
  </sheetViews>
  <sheetFormatPr defaultRowHeight="12.75" x14ac:dyDescent="0.2"/>
  <cols>
    <col min="1" max="1" width="18.7109375" bestFit="1" customWidth="1"/>
    <col min="2" max="2" width="12" bestFit="1" customWidth="1"/>
    <col min="3" max="3" width="13.7109375" bestFit="1" customWidth="1"/>
    <col min="5" max="5" width="12.42578125" bestFit="1" customWidth="1"/>
    <col min="6" max="6" width="13.5703125" bestFit="1" customWidth="1"/>
    <col min="7" max="7" width="12" bestFit="1" customWidth="1"/>
    <col min="8" max="8" width="12.140625" bestFit="1" customWidth="1"/>
    <col min="9" max="9" width="12.28515625" bestFit="1" customWidth="1"/>
  </cols>
  <sheetData>
    <row r="1" spans="1:9" x14ac:dyDescent="0.2">
      <c r="A1" t="s">
        <v>38</v>
      </c>
    </row>
    <row r="2" spans="1:9" ht="13.5" thickBot="1" x14ac:dyDescent="0.25"/>
    <row r="3" spans="1:9" x14ac:dyDescent="0.2">
      <c r="A3" s="6" t="s">
        <v>39</v>
      </c>
      <c r="B3" s="6"/>
    </row>
    <row r="4" spans="1:9" x14ac:dyDescent="0.2">
      <c r="A4" s="7" t="s">
        <v>40</v>
      </c>
      <c r="B4" s="7">
        <v>0.34089295785400292</v>
      </c>
    </row>
    <row r="5" spans="1:9" x14ac:dyDescent="0.2">
      <c r="A5" s="7" t="s">
        <v>41</v>
      </c>
      <c r="B5" s="7">
        <v>0.116208008714451</v>
      </c>
    </row>
    <row r="6" spans="1:9" x14ac:dyDescent="0.2">
      <c r="A6" s="7" t="s">
        <v>42</v>
      </c>
      <c r="B6" s="7">
        <v>9.2950324733252349E-2</v>
      </c>
    </row>
    <row r="7" spans="1:9" x14ac:dyDescent="0.2">
      <c r="A7" s="7" t="s">
        <v>43</v>
      </c>
      <c r="B7" s="7">
        <v>0.73159953038795023</v>
      </c>
    </row>
    <row r="8" spans="1:9" ht="13.5" thickBot="1" x14ac:dyDescent="0.25">
      <c r="A8" s="8" t="s">
        <v>44</v>
      </c>
      <c r="B8" s="8">
        <v>40</v>
      </c>
    </row>
    <row r="10" spans="1:9" ht="13.5" thickBot="1" x14ac:dyDescent="0.25">
      <c r="A10" t="s">
        <v>45</v>
      </c>
    </row>
    <row r="11" spans="1:9" x14ac:dyDescent="0.2">
      <c r="A11" s="9"/>
      <c r="B11" s="9" t="s">
        <v>46</v>
      </c>
      <c r="C11" s="9" t="s">
        <v>47</v>
      </c>
      <c r="D11" s="9" t="s">
        <v>48</v>
      </c>
      <c r="E11" s="9" t="s">
        <v>49</v>
      </c>
      <c r="F11" s="9" t="s">
        <v>50</v>
      </c>
    </row>
    <row r="12" spans="1:9" x14ac:dyDescent="0.2">
      <c r="A12" s="10" t="s">
        <v>51</v>
      </c>
      <c r="B12" s="10">
        <v>1</v>
      </c>
      <c r="C12" s="10">
        <v>2.6743388311729532</v>
      </c>
      <c r="D12" s="10">
        <v>2.6743388311729532</v>
      </c>
      <c r="E12" s="10">
        <v>4.9965425967775943</v>
      </c>
      <c r="F12" s="10">
        <v>3.1352533794655038E-2</v>
      </c>
    </row>
    <row r="13" spans="1:9" x14ac:dyDescent="0.2">
      <c r="A13" s="10" t="s">
        <v>52</v>
      </c>
      <c r="B13" s="10">
        <v>38</v>
      </c>
      <c r="C13" s="10">
        <v>20.339039168827032</v>
      </c>
      <c r="D13" s="10">
        <v>0.53523787286386926</v>
      </c>
      <c r="E13" s="10"/>
      <c r="F13" s="10"/>
    </row>
    <row r="14" spans="1:9" ht="13.5" thickBot="1" x14ac:dyDescent="0.25">
      <c r="A14" s="11" t="s">
        <v>53</v>
      </c>
      <c r="B14" s="11">
        <v>39</v>
      </c>
      <c r="C14" s="11">
        <v>23.013377999999985</v>
      </c>
      <c r="D14" s="11"/>
      <c r="E14" s="11"/>
      <c r="F14" s="11"/>
    </row>
    <row r="15" spans="1:9" ht="13.5" thickBot="1" x14ac:dyDescent="0.25"/>
    <row r="16" spans="1:9" x14ac:dyDescent="0.2">
      <c r="A16" s="17"/>
      <c r="B16" s="17" t="s">
        <v>54</v>
      </c>
      <c r="C16" s="17" t="s">
        <v>43</v>
      </c>
      <c r="D16" s="17" t="s">
        <v>55</v>
      </c>
      <c r="E16" s="17" t="s">
        <v>56</v>
      </c>
      <c r="F16" s="17" t="s">
        <v>57</v>
      </c>
      <c r="G16" s="17" t="s">
        <v>58</v>
      </c>
      <c r="H16" s="17" t="s">
        <v>62</v>
      </c>
      <c r="I16" s="17" t="s">
        <v>63</v>
      </c>
    </row>
    <row r="17" spans="1:9" x14ac:dyDescent="0.2">
      <c r="A17" s="18" t="s">
        <v>59</v>
      </c>
      <c r="B17" s="18">
        <v>6.9045093155832991</v>
      </c>
      <c r="C17" s="18">
        <v>0.23821681140525031</v>
      </c>
      <c r="D17" s="18">
        <v>28.984139594738625</v>
      </c>
      <c r="E17" s="18">
        <v>1.6108152578345885E-27</v>
      </c>
      <c r="F17" s="18">
        <v>6.4222645928287916</v>
      </c>
      <c r="G17" s="18">
        <v>7.3867540383378065</v>
      </c>
      <c r="H17" s="18">
        <v>6.4222645928287916</v>
      </c>
      <c r="I17" s="18">
        <v>7.3867540383378065</v>
      </c>
    </row>
    <row r="18" spans="1:9" ht="13.5" thickBot="1" x14ac:dyDescent="0.25">
      <c r="A18" s="19" t="s">
        <v>64</v>
      </c>
      <c r="B18" s="20">
        <v>0.11673747571578706</v>
      </c>
      <c r="C18" s="20">
        <v>5.2224645532673357E-2</v>
      </c>
      <c r="D18" s="20">
        <v>2.23529474494475</v>
      </c>
      <c r="E18" s="20">
        <v>3.1352533794654795E-2</v>
      </c>
      <c r="F18" s="20">
        <v>1.1014208087071764E-2</v>
      </c>
      <c r="G18" s="20">
        <v>0.22246074334450236</v>
      </c>
      <c r="H18" s="20">
        <v>1.1014208087071764E-2</v>
      </c>
      <c r="I18" s="20">
        <v>0.22246074334450236</v>
      </c>
    </row>
  </sheetData>
  <pageMargins left="0.7" right="0.7" top="0.75" bottom="0.75" header="0.3" footer="0.3"/>
  <drawing r:id="rId1"/>
  <extLst>
    <ext xmlns:x15="http://schemas.microsoft.com/office/spreadsheetml/2010/11/main" uri="{F7C9EE02-42E1-4005-9D12-6889AFFD525C}">
      <x15:webExtensions xmlns:xm="http://schemas.microsoft.com/office/excel/2006/main">
        <x15:webExtension appRef="{D9A869AE-4DB9-40F7-8FDC-C3415243A555}">
          <xm:f>'Cleaned Data'!$I$2:$I$41</xm:f>
        </x15:webExtension>
        <x15:webExtension appRef="{3906898B-2BD0-45B5-B305-C1A7B19807D2}">
          <xm:f>'Cleaned Data'!$C$2:$C$41</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0C541-5CD2-4175-B42A-A4BCF6AE2DFA}">
  <dimension ref="A3:B9"/>
  <sheetViews>
    <sheetView workbookViewId="0">
      <selection activeCell="J26" sqref="J26"/>
    </sheetView>
  </sheetViews>
  <sheetFormatPr defaultRowHeight="12.75" x14ac:dyDescent="0.2"/>
  <cols>
    <col min="1" max="1" width="37.42578125" bestFit="1" customWidth="1"/>
    <col min="2" max="2" width="32.7109375" bestFit="1" customWidth="1"/>
  </cols>
  <sheetData>
    <row r="3" spans="1:2" x14ac:dyDescent="0.2">
      <c r="A3" s="12" t="s">
        <v>60</v>
      </c>
      <c r="B3" s="13" t="s">
        <v>69</v>
      </c>
    </row>
    <row r="4" spans="1:2" x14ac:dyDescent="0.2">
      <c r="A4" s="14" t="s">
        <v>34</v>
      </c>
      <c r="B4" s="27">
        <v>7</v>
      </c>
    </row>
    <row r="5" spans="1:2" x14ac:dyDescent="0.2">
      <c r="A5" s="15" t="s">
        <v>24</v>
      </c>
      <c r="B5" s="28">
        <v>10</v>
      </c>
    </row>
    <row r="6" spans="1:2" x14ac:dyDescent="0.2">
      <c r="A6" s="15" t="s">
        <v>31</v>
      </c>
      <c r="B6" s="28">
        <v>4</v>
      </c>
    </row>
    <row r="7" spans="1:2" x14ac:dyDescent="0.2">
      <c r="A7" s="15" t="s">
        <v>27</v>
      </c>
      <c r="B7" s="28">
        <v>7</v>
      </c>
    </row>
    <row r="8" spans="1:2" x14ac:dyDescent="0.2">
      <c r="A8" s="15" t="s">
        <v>29</v>
      </c>
      <c r="B8" s="28">
        <v>12</v>
      </c>
    </row>
    <row r="9" spans="1:2" x14ac:dyDescent="0.2">
      <c r="A9" s="16" t="s">
        <v>61</v>
      </c>
      <c r="B9" s="29">
        <v>40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75D4-A4C1-498A-B09F-AFAEB8E4C87B}">
  <dimension ref="A3:B8"/>
  <sheetViews>
    <sheetView workbookViewId="0">
      <selection activeCell="D20" sqref="D20"/>
    </sheetView>
  </sheetViews>
  <sheetFormatPr defaultRowHeight="12.75" x14ac:dyDescent="0.2"/>
  <cols>
    <col min="1" max="1" width="33.42578125" bestFit="1" customWidth="1"/>
    <col min="2" max="2" width="58.140625" bestFit="1" customWidth="1"/>
  </cols>
  <sheetData>
    <row r="3" spans="1:2" x14ac:dyDescent="0.2">
      <c r="A3" s="12" t="s">
        <v>60</v>
      </c>
      <c r="B3" s="13" t="s">
        <v>70</v>
      </c>
    </row>
    <row r="4" spans="1:2" x14ac:dyDescent="0.2">
      <c r="A4" s="14" t="s">
        <v>11</v>
      </c>
      <c r="B4" s="27">
        <v>18</v>
      </c>
    </row>
    <row r="5" spans="1:2" x14ac:dyDescent="0.2">
      <c r="A5" s="15" t="s">
        <v>35</v>
      </c>
      <c r="B5" s="28">
        <v>1</v>
      </c>
    </row>
    <row r="6" spans="1:2" x14ac:dyDescent="0.2">
      <c r="A6" s="15" t="s">
        <v>28</v>
      </c>
      <c r="B6" s="28">
        <v>11</v>
      </c>
    </row>
    <row r="7" spans="1:2" x14ac:dyDescent="0.2">
      <c r="A7" s="15" t="s">
        <v>19</v>
      </c>
      <c r="B7" s="28">
        <v>10</v>
      </c>
    </row>
    <row r="8" spans="1:2" x14ac:dyDescent="0.2">
      <c r="A8" s="16" t="s">
        <v>61</v>
      </c>
      <c r="B8" s="29">
        <v>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58DB7-B2B1-4AA3-98EC-68F017D3C89B}">
  <dimension ref="A3:B11"/>
  <sheetViews>
    <sheetView workbookViewId="0">
      <selection activeCell="E24" sqref="E24"/>
    </sheetView>
  </sheetViews>
  <sheetFormatPr defaultRowHeight="12.75" x14ac:dyDescent="0.2"/>
  <cols>
    <col min="1" max="1" width="12.85546875" bestFit="1" customWidth="1"/>
    <col min="2" max="2" width="66.5703125" bestFit="1" customWidth="1"/>
  </cols>
  <sheetData>
    <row r="3" spans="1:2" x14ac:dyDescent="0.2">
      <c r="A3" s="12" t="s">
        <v>60</v>
      </c>
      <c r="B3" s="13" t="s">
        <v>71</v>
      </c>
    </row>
    <row r="4" spans="1:2" x14ac:dyDescent="0.2">
      <c r="A4" s="14">
        <v>1</v>
      </c>
      <c r="B4" s="27">
        <v>1</v>
      </c>
    </row>
    <row r="5" spans="1:2" x14ac:dyDescent="0.2">
      <c r="A5" s="15">
        <v>2</v>
      </c>
      <c r="B5" s="28">
        <v>2</v>
      </c>
    </row>
    <row r="6" spans="1:2" x14ac:dyDescent="0.2">
      <c r="A6" s="15">
        <v>3</v>
      </c>
      <c r="B6" s="28">
        <v>2</v>
      </c>
    </row>
    <row r="7" spans="1:2" x14ac:dyDescent="0.2">
      <c r="A7" s="15">
        <v>4</v>
      </c>
      <c r="B7" s="28">
        <v>7</v>
      </c>
    </row>
    <row r="8" spans="1:2" x14ac:dyDescent="0.2">
      <c r="A8" s="15">
        <v>5</v>
      </c>
      <c r="B8" s="28">
        <v>5</v>
      </c>
    </row>
    <row r="9" spans="1:2" x14ac:dyDescent="0.2">
      <c r="A9" s="15">
        <v>6</v>
      </c>
      <c r="B9" s="28">
        <v>9</v>
      </c>
    </row>
    <row r="10" spans="1:2" x14ac:dyDescent="0.2">
      <c r="A10" s="15">
        <v>7</v>
      </c>
      <c r="B10" s="28">
        <v>14</v>
      </c>
    </row>
    <row r="11" spans="1:2" x14ac:dyDescent="0.2">
      <c r="A11" s="16" t="s">
        <v>61</v>
      </c>
      <c r="B11" s="29">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FB38-95E9-4105-8690-FC18B7F19865}">
  <dimension ref="A3:B13"/>
  <sheetViews>
    <sheetView workbookViewId="0">
      <selection activeCell="C21" sqref="C21"/>
    </sheetView>
  </sheetViews>
  <sheetFormatPr defaultRowHeight="12.75" x14ac:dyDescent="0.2"/>
  <cols>
    <col min="1" max="1" width="44.85546875" bestFit="1" customWidth="1"/>
    <col min="2" max="2" width="57.5703125" bestFit="1" customWidth="1"/>
  </cols>
  <sheetData>
    <row r="3" spans="1:2" x14ac:dyDescent="0.2">
      <c r="A3" s="12" t="s">
        <v>60</v>
      </c>
      <c r="B3" s="13" t="s">
        <v>72</v>
      </c>
    </row>
    <row r="4" spans="1:2" x14ac:dyDescent="0.2">
      <c r="A4" s="14" t="s">
        <v>16</v>
      </c>
      <c r="B4" s="27">
        <v>10</v>
      </c>
    </row>
    <row r="5" spans="1:2" x14ac:dyDescent="0.2">
      <c r="A5" s="15" t="s">
        <v>21</v>
      </c>
      <c r="B5" s="28">
        <v>1</v>
      </c>
    </row>
    <row r="6" spans="1:2" x14ac:dyDescent="0.2">
      <c r="A6" s="15" t="s">
        <v>36</v>
      </c>
      <c r="B6" s="28">
        <v>1</v>
      </c>
    </row>
    <row r="7" spans="1:2" x14ac:dyDescent="0.2">
      <c r="A7" s="15" t="s">
        <v>14</v>
      </c>
      <c r="B7" s="28">
        <v>5</v>
      </c>
    </row>
    <row r="8" spans="1:2" x14ac:dyDescent="0.2">
      <c r="A8" s="15" t="s">
        <v>25</v>
      </c>
      <c r="B8" s="28">
        <v>3</v>
      </c>
    </row>
    <row r="9" spans="1:2" x14ac:dyDescent="0.2">
      <c r="A9" s="15" t="s">
        <v>33</v>
      </c>
      <c r="B9" s="28">
        <v>1</v>
      </c>
    </row>
    <row r="10" spans="1:2" x14ac:dyDescent="0.2">
      <c r="A10" s="15" t="s">
        <v>30</v>
      </c>
      <c r="B10" s="28">
        <v>11</v>
      </c>
    </row>
    <row r="11" spans="1:2" x14ac:dyDescent="0.2">
      <c r="A11" s="15" t="s">
        <v>23</v>
      </c>
      <c r="B11" s="28">
        <v>1</v>
      </c>
    </row>
    <row r="12" spans="1:2" x14ac:dyDescent="0.2">
      <c r="A12" s="15" t="s">
        <v>26</v>
      </c>
      <c r="B12" s="28">
        <v>7</v>
      </c>
    </row>
    <row r="13" spans="1:2" x14ac:dyDescent="0.2">
      <c r="A13" s="16" t="s">
        <v>61</v>
      </c>
      <c r="B13" s="29">
        <v>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09140-6CA5-467A-8EBF-E83EA96B01B6}">
  <dimension ref="A1"/>
  <sheetViews>
    <sheetView tabSelected="1" zoomScale="95" workbookViewId="0">
      <selection activeCell="U28" sqref="U28"/>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 Data</vt:lpstr>
      <vt:lpstr>Regression</vt:lpstr>
      <vt:lpstr>No. of colleges</vt:lpstr>
      <vt:lpstr>Usage of resources</vt:lpstr>
      <vt:lpstr>How many days it is used</vt:lpstr>
      <vt:lpstr>Problems faced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suparnaghosalnandi@outlook.com</cp:lastModifiedBy>
  <dcterms:modified xsi:type="dcterms:W3CDTF">2026-06-23T15:27:09Z</dcterms:modified>
</cp:coreProperties>
</file>